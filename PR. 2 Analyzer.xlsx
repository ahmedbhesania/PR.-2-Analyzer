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7.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d.docs.live.net/6bd11af68ae4c0ef/Desktop/all projects/excel/"/>
    </mc:Choice>
  </mc:AlternateContent>
  <xr:revisionPtr revIDLastSave="450" documentId="13_ncr:1_{9726F3C3-A507-4FD7-B16B-36ED279A5705}" xr6:coauthVersionLast="47" xr6:coauthVersionMax="47" xr10:uidLastSave="{DEDF43AF-8004-4778-8D76-BCC5CBBE497B}"/>
  <bookViews>
    <workbookView xWindow="-108" yWindow="-108" windowWidth="23256" windowHeight="12456" firstSheet="5" activeTab="7" xr2:uid="{00000000-000D-0000-FFFF-FFFF00000000}"/>
  </bookViews>
  <sheets>
    <sheet name="Project Instructions" sheetId="1" r:id="rId1"/>
    <sheet name="Statistics" sheetId="4" r:id="rId2"/>
    <sheet name="regression" sheetId="3" r:id="rId3"/>
    <sheet name="growth" sheetId="5" r:id="rId4"/>
    <sheet name="High_value_customer" sheetId="6" r:id="rId5"/>
    <sheet name="SalesVsRegion" sheetId="7" r:id="rId6"/>
    <sheet name="visualization" sheetId="8" r:id="rId7"/>
    <sheet name="Dashboard" sheetId="9" r:id="rId8"/>
    <sheet name="Dataset" sheetId="2" r:id="rId9"/>
  </sheets>
  <definedNames>
    <definedName name="Slicer_Product_Category">#N/A</definedName>
    <definedName name="Slicer_Region1">#N/A</definedName>
  </definedNames>
  <calcPr calcId="191029"/>
  <pivotCaches>
    <pivotCache cacheId="16" r:id="rId10"/>
    <pivotCache cacheId="17" r:id="rId11"/>
  </pivotCaches>
  <extLs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5" i="2" l="1"/>
  <c r="N4" i="2"/>
  <c r="N3" i="2"/>
  <c r="N2" i="2"/>
  <c r="AB95" i="2"/>
  <c r="AB92" i="2"/>
  <c r="AB90" i="2"/>
  <c r="N4" i="6" a="1"/>
  <c r="N4" i="6" s="1"/>
  <c r="AB86" i="2"/>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 i="2"/>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 i="2"/>
  <c r="AB84" i="2"/>
  <c r="AB82" i="2"/>
  <c r="AC76" i="2"/>
  <c r="AC77" i="2" s="1"/>
  <c r="I3" i="2"/>
  <c r="I4" i="2"/>
  <c r="J4" i="2" s="1"/>
  <c r="I5" i="2"/>
  <c r="I6" i="2"/>
  <c r="I7" i="2"/>
  <c r="I8" i="2"/>
  <c r="I9" i="2"/>
  <c r="J9" i="2" s="1"/>
  <c r="I10" i="2"/>
  <c r="I11" i="2"/>
  <c r="I12" i="2"/>
  <c r="J12" i="2" s="1"/>
  <c r="I13" i="2"/>
  <c r="I14" i="2"/>
  <c r="I15" i="2"/>
  <c r="J15" i="2" s="1"/>
  <c r="I16" i="2"/>
  <c r="I17" i="2"/>
  <c r="I18" i="2"/>
  <c r="I19" i="2"/>
  <c r="I20" i="2"/>
  <c r="I21" i="2"/>
  <c r="I22" i="2"/>
  <c r="I23" i="2"/>
  <c r="I24" i="2"/>
  <c r="I25" i="2"/>
  <c r="J25" i="2" s="1"/>
  <c r="I26" i="2"/>
  <c r="I27" i="2"/>
  <c r="I28" i="2"/>
  <c r="J28" i="2" s="1"/>
  <c r="I29" i="2"/>
  <c r="I30" i="2"/>
  <c r="I31" i="2"/>
  <c r="J31" i="2" s="1"/>
  <c r="I32" i="2"/>
  <c r="I33" i="2"/>
  <c r="J33" i="2" s="1"/>
  <c r="I34" i="2"/>
  <c r="I35" i="2"/>
  <c r="I36" i="2"/>
  <c r="J36" i="2" s="1"/>
  <c r="I37" i="2"/>
  <c r="I38" i="2"/>
  <c r="I39" i="2"/>
  <c r="I40" i="2"/>
  <c r="I41" i="2"/>
  <c r="I42" i="2"/>
  <c r="I43" i="2"/>
  <c r="I44" i="2"/>
  <c r="I45" i="2"/>
  <c r="I46" i="2"/>
  <c r="I47" i="2"/>
  <c r="I48" i="2"/>
  <c r="I49" i="2"/>
  <c r="J49" i="2" s="1"/>
  <c r="I50" i="2"/>
  <c r="I51" i="2"/>
  <c r="I52" i="2"/>
  <c r="J52" i="2" s="1"/>
  <c r="I53" i="2"/>
  <c r="I54" i="2"/>
  <c r="I55" i="2"/>
  <c r="J55" i="2" s="1"/>
  <c r="I56" i="2"/>
  <c r="I57" i="2"/>
  <c r="I58" i="2"/>
  <c r="I59" i="2"/>
  <c r="I60" i="2"/>
  <c r="I61" i="2"/>
  <c r="I62" i="2"/>
  <c r="I63" i="2"/>
  <c r="J63" i="2" s="1"/>
  <c r="I64" i="2"/>
  <c r="I65" i="2"/>
  <c r="J65" i="2" s="1"/>
  <c r="I66" i="2"/>
  <c r="I67" i="2"/>
  <c r="I68" i="2"/>
  <c r="J68" i="2" s="1"/>
  <c r="I69" i="2"/>
  <c r="I70" i="2"/>
  <c r="I71" i="2"/>
  <c r="I72" i="2"/>
  <c r="I73" i="2"/>
  <c r="J73" i="2" s="1"/>
  <c r="I74" i="2"/>
  <c r="I75" i="2"/>
  <c r="I76" i="2"/>
  <c r="J76" i="2" s="1"/>
  <c r="I77" i="2"/>
  <c r="I78" i="2"/>
  <c r="I79" i="2"/>
  <c r="J79" i="2" s="1"/>
  <c r="I80" i="2"/>
  <c r="I81" i="2"/>
  <c r="I82" i="2"/>
  <c r="I83" i="2"/>
  <c r="I84" i="2"/>
  <c r="I85" i="2"/>
  <c r="I86" i="2"/>
  <c r="I87" i="2"/>
  <c r="I88" i="2"/>
  <c r="I89" i="2"/>
  <c r="J89" i="2" s="1"/>
  <c r="I90" i="2"/>
  <c r="I91" i="2"/>
  <c r="I92" i="2"/>
  <c r="J92" i="2" s="1"/>
  <c r="I93" i="2"/>
  <c r="I94" i="2"/>
  <c r="I95" i="2"/>
  <c r="J95" i="2" s="1"/>
  <c r="I96" i="2"/>
  <c r="I97" i="2"/>
  <c r="J97" i="2" s="1"/>
  <c r="I98" i="2"/>
  <c r="I99" i="2"/>
  <c r="I100" i="2"/>
  <c r="J100" i="2" s="1"/>
  <c r="I101" i="2"/>
  <c r="I102" i="2"/>
  <c r="I103" i="2"/>
  <c r="I104" i="2"/>
  <c r="I105" i="2"/>
  <c r="I106" i="2"/>
  <c r="I107" i="2"/>
  <c r="J107" i="2" s="1"/>
  <c r="I108" i="2"/>
  <c r="I109" i="2"/>
  <c r="J109" i="2" s="1"/>
  <c r="I110" i="2"/>
  <c r="I111" i="2"/>
  <c r="I112" i="2"/>
  <c r="I113" i="2"/>
  <c r="J113" i="2" s="1"/>
  <c r="I114" i="2"/>
  <c r="I115" i="2"/>
  <c r="I116" i="2"/>
  <c r="J116" i="2" s="1"/>
  <c r="I117" i="2"/>
  <c r="I118" i="2"/>
  <c r="I119" i="2"/>
  <c r="J119" i="2" s="1"/>
  <c r="I120" i="2"/>
  <c r="I121" i="2"/>
  <c r="I122" i="2"/>
  <c r="I123" i="2"/>
  <c r="J123" i="2" s="1"/>
  <c r="I124" i="2"/>
  <c r="I125" i="2"/>
  <c r="J125" i="2" s="1"/>
  <c r="I126" i="2"/>
  <c r="I127" i="2"/>
  <c r="J127" i="2" s="1"/>
  <c r="I128" i="2"/>
  <c r="I129" i="2"/>
  <c r="J129" i="2" s="1"/>
  <c r="I130" i="2"/>
  <c r="I131" i="2"/>
  <c r="I132" i="2"/>
  <c r="J132" i="2" s="1"/>
  <c r="I133" i="2"/>
  <c r="I134" i="2"/>
  <c r="I135" i="2"/>
  <c r="I136" i="2"/>
  <c r="I137" i="2"/>
  <c r="J137" i="2" s="1"/>
  <c r="I138" i="2"/>
  <c r="I139" i="2"/>
  <c r="I140" i="2"/>
  <c r="J140" i="2" s="1"/>
  <c r="I141" i="2"/>
  <c r="J141" i="2" s="1"/>
  <c r="I142" i="2"/>
  <c r="I143" i="2"/>
  <c r="J143" i="2" s="1"/>
  <c r="I144" i="2"/>
  <c r="I145" i="2"/>
  <c r="I146" i="2"/>
  <c r="I147" i="2"/>
  <c r="I148" i="2"/>
  <c r="I149" i="2"/>
  <c r="I150" i="2"/>
  <c r="I151" i="2"/>
  <c r="I152" i="2"/>
  <c r="I153" i="2"/>
  <c r="J153" i="2" s="1"/>
  <c r="I154" i="2"/>
  <c r="I155" i="2"/>
  <c r="J155" i="2" s="1"/>
  <c r="I156" i="2"/>
  <c r="J156" i="2" s="1"/>
  <c r="I157" i="2"/>
  <c r="I158" i="2"/>
  <c r="I159" i="2"/>
  <c r="J159" i="2" s="1"/>
  <c r="I160" i="2"/>
  <c r="I161" i="2"/>
  <c r="J161" i="2" s="1"/>
  <c r="I162" i="2"/>
  <c r="I163" i="2"/>
  <c r="I164" i="2"/>
  <c r="J164" i="2" s="1"/>
  <c r="I165" i="2"/>
  <c r="I166" i="2"/>
  <c r="I167" i="2"/>
  <c r="J167" i="2" s="1"/>
  <c r="I168" i="2"/>
  <c r="I169" i="2"/>
  <c r="J169" i="2" s="1"/>
  <c r="I170" i="2"/>
  <c r="I171" i="2"/>
  <c r="J171" i="2" s="1"/>
  <c r="I172" i="2"/>
  <c r="I173" i="2"/>
  <c r="J173" i="2" s="1"/>
  <c r="I174" i="2"/>
  <c r="I175" i="2"/>
  <c r="I176" i="2"/>
  <c r="I177" i="2"/>
  <c r="J177" i="2" s="1"/>
  <c r="I178" i="2"/>
  <c r="I179" i="2"/>
  <c r="I180" i="2"/>
  <c r="J180" i="2" s="1"/>
  <c r="I181" i="2"/>
  <c r="I182" i="2"/>
  <c r="I183" i="2"/>
  <c r="J183" i="2" s="1"/>
  <c r="I184" i="2"/>
  <c r="I185" i="2"/>
  <c r="I186" i="2"/>
  <c r="I187" i="2"/>
  <c r="J187" i="2" s="1"/>
  <c r="I188" i="2"/>
  <c r="I189" i="2"/>
  <c r="J189" i="2" s="1"/>
  <c r="I190" i="2"/>
  <c r="I191" i="2"/>
  <c r="J191" i="2" s="1"/>
  <c r="I192" i="2"/>
  <c r="I193" i="2"/>
  <c r="J193" i="2" s="1"/>
  <c r="I194" i="2"/>
  <c r="I195" i="2"/>
  <c r="I196" i="2"/>
  <c r="J196" i="2" s="1"/>
  <c r="I197" i="2"/>
  <c r="I198" i="2"/>
  <c r="I199" i="2"/>
  <c r="I200" i="2"/>
  <c r="I201" i="2"/>
  <c r="J201" i="2" s="1"/>
  <c r="I2" i="2"/>
  <c r="J2" i="2" s="1"/>
  <c r="J17" i="2"/>
  <c r="J41" i="2"/>
  <c r="J57" i="2"/>
  <c r="J81" i="2"/>
  <c r="J105" i="2"/>
  <c r="J121" i="2"/>
  <c r="J145" i="2"/>
  <c r="J185" i="2"/>
  <c r="J3" i="2"/>
  <c r="J5" i="2"/>
  <c r="J6" i="2"/>
  <c r="J7" i="2"/>
  <c r="J8" i="2"/>
  <c r="J10" i="2"/>
  <c r="J11" i="2"/>
  <c r="J13" i="2"/>
  <c r="J14" i="2"/>
  <c r="J16" i="2"/>
  <c r="J18" i="2"/>
  <c r="J19" i="2"/>
  <c r="J20" i="2"/>
  <c r="J21" i="2"/>
  <c r="J22" i="2"/>
  <c r="J23" i="2"/>
  <c r="J24" i="2"/>
  <c r="J26" i="2"/>
  <c r="J27" i="2"/>
  <c r="J29" i="2"/>
  <c r="J30" i="2"/>
  <c r="J32" i="2"/>
  <c r="J34" i="2"/>
  <c r="J35" i="2"/>
  <c r="J37" i="2"/>
  <c r="J38" i="2"/>
  <c r="J39" i="2"/>
  <c r="J40" i="2"/>
  <c r="J42" i="2"/>
  <c r="J43" i="2"/>
  <c r="J44" i="2"/>
  <c r="J45" i="2"/>
  <c r="J46" i="2"/>
  <c r="J47" i="2"/>
  <c r="J48" i="2"/>
  <c r="J50" i="2"/>
  <c r="J51" i="2"/>
  <c r="J53" i="2"/>
  <c r="J54" i="2"/>
  <c r="J56" i="2"/>
  <c r="J58" i="2"/>
  <c r="J59" i="2"/>
  <c r="J60" i="2"/>
  <c r="J61" i="2"/>
  <c r="J62" i="2"/>
  <c r="J64" i="2"/>
  <c r="J66" i="2"/>
  <c r="J67" i="2"/>
  <c r="J69" i="2"/>
  <c r="J70" i="2"/>
  <c r="J71" i="2"/>
  <c r="J72" i="2"/>
  <c r="J74" i="2"/>
  <c r="J75" i="2"/>
  <c r="J77" i="2"/>
  <c r="J78" i="2"/>
  <c r="J80" i="2"/>
  <c r="J82" i="2"/>
  <c r="J83" i="2"/>
  <c r="J84" i="2"/>
  <c r="J85" i="2"/>
  <c r="J86" i="2"/>
  <c r="J87" i="2"/>
  <c r="J88" i="2"/>
  <c r="J90" i="2"/>
  <c r="J91" i="2"/>
  <c r="J93" i="2"/>
  <c r="J94" i="2"/>
  <c r="J96" i="2"/>
  <c r="J98" i="2"/>
  <c r="J99" i="2"/>
  <c r="J101" i="2"/>
  <c r="J102" i="2"/>
  <c r="J103" i="2"/>
  <c r="J104" i="2"/>
  <c r="J106" i="2"/>
  <c r="J108" i="2"/>
  <c r="J110" i="2"/>
  <c r="J111" i="2"/>
  <c r="J112" i="2"/>
  <c r="J114" i="2"/>
  <c r="J115" i="2"/>
  <c r="J117" i="2"/>
  <c r="J118" i="2"/>
  <c r="J120" i="2"/>
  <c r="J122" i="2"/>
  <c r="J124" i="2"/>
  <c r="J126" i="2"/>
  <c r="J128" i="2"/>
  <c r="J130" i="2"/>
  <c r="J131" i="2"/>
  <c r="J133" i="2"/>
  <c r="J134" i="2"/>
  <c r="J135" i="2"/>
  <c r="J136" i="2"/>
  <c r="J138" i="2"/>
  <c r="J139" i="2"/>
  <c r="J142" i="2"/>
  <c r="J144" i="2"/>
  <c r="J146" i="2"/>
  <c r="J147" i="2"/>
  <c r="J148" i="2"/>
  <c r="J149" i="2"/>
  <c r="J150" i="2"/>
  <c r="J151" i="2"/>
  <c r="J152" i="2"/>
  <c r="J154" i="2"/>
  <c r="J157" i="2"/>
  <c r="J158" i="2"/>
  <c r="J160" i="2"/>
  <c r="J162" i="2"/>
  <c r="J163" i="2"/>
  <c r="J165" i="2"/>
  <c r="J166" i="2"/>
  <c r="J168" i="2"/>
  <c r="J170" i="2"/>
  <c r="J172" i="2"/>
  <c r="J174" i="2"/>
  <c r="J175" i="2"/>
  <c r="J176" i="2"/>
  <c r="J178" i="2"/>
  <c r="J179" i="2"/>
  <c r="J181" i="2"/>
  <c r="J182" i="2"/>
  <c r="J184" i="2"/>
  <c r="J186" i="2"/>
  <c r="J188" i="2"/>
  <c r="J190" i="2"/>
  <c r="J192" i="2"/>
  <c r="J194" i="2"/>
  <c r="J195" i="2"/>
  <c r="J197" i="2"/>
  <c r="J198" i="2"/>
  <c r="J199" i="2"/>
  <c r="J200" i="2"/>
  <c r="I41" i="9"/>
  <c r="I40" i="9"/>
  <c r="I39" i="9"/>
  <c r="I38" i="9"/>
  <c r="I37" i="9"/>
  <c r="I36" i="9"/>
  <c r="I35" i="9"/>
  <c r="I34" i="9"/>
  <c r="I33" i="9"/>
  <c r="I32" i="9"/>
  <c r="I31" i="9"/>
  <c r="I30" i="9"/>
  <c r="K4" i="6"/>
  <c r="C16" i="5"/>
  <c r="C15" i="5"/>
  <c r="C14" i="5"/>
  <c r="C13" i="5"/>
  <c r="C12" i="5"/>
  <c r="C11" i="5"/>
  <c r="C10" i="5"/>
  <c r="C9" i="5"/>
  <c r="C8" i="5"/>
  <c r="C7" i="5"/>
  <c r="C6" i="5"/>
  <c r="C5" i="5"/>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<sst xmlns="http://schemas.openxmlformats.org/spreadsheetml/2006/main" count="997" uniqueCount="181">
  <si>
    <t>PR. 2 Analyzer</t>
  </si>
  <si>
    <r>
      <rPr>
        <b/>
        <sz val="11"/>
        <color theme="1"/>
        <rFont val="Calibri"/>
      </rPr>
      <t xml:space="preserve">Topics:
</t>
    </r>
    <r>
      <rPr>
        <sz val="11"/>
        <color theme="1"/>
        <rFont val="Calibri"/>
      </rPr>
      <t xml:space="preserve">- Conditional Formatting
 - WHAT IF Analysis
 - Linear Regression (Using Data Analysis Toolpak)
 - Data Analysis Feature (Descriptive Stats, Regression, Histogram)
 - Data Storytelling
 - Add Symbols or Arrows in Custom Formatting
 - Create Timestamp
 - Find High-Value Customers using Groupby(), index(), and match() combination
 - Advanced Descriptive Analytics
 - Pivot Table with Dashboard
 - Creating bar charts
 - Creating line charts
 - Creating pie charts
</t>
    </r>
    <r>
      <rPr>
        <b/>
        <sz val="11"/>
        <color rgb="FF38761D"/>
        <rFont val="Calibri"/>
      </rPr>
      <t>Main Tasks:</t>
    </r>
    <r>
      <rPr>
        <sz val="11"/>
        <color rgb="FF38761D"/>
        <rFont val="Calibri"/>
      </rPr>
      <t xml:space="preserve">
1. Apply conditional formatting to highlight top 10 customers based on total purchase.
2. Perform WHAT IF Analysis to see impact of changing discount on total profit.
3. Use Data Analysis Toolpak to run Linear Regression (Profit vs Sales).
4. Use 'Descriptive Statistics' from Analysis Toolpak on the dataset.
5. Add up/down arrows on monthly sales growth.
6. Create a timestamp column using NOW().
7. Identify high-value customers using index(), match(), and filters.
8. Create Pivot Table to analyze total sales by region and product.
9. Create bar, line, and pie charts to visualize KPIs.
10. Summarize insights using a dashboard.</t>
    </r>
    <r>
      <rPr>
        <sz val="11"/>
        <color theme="1"/>
        <rFont val="Calibri"/>
      </rPr>
      <t xml:space="preserve">
</t>
    </r>
    <r>
      <rPr>
        <b/>
        <sz val="11"/>
        <color theme="1"/>
        <rFont val="Calibri"/>
      </rPr>
      <t xml:space="preserve">Deliverable:
</t>
    </r>
    <r>
      <rPr>
        <sz val="11"/>
        <color theme="1"/>
        <rFont val="Calibri"/>
      </rPr>
      <t>Complete the given worksheet by applying the required formulas in respective sheets.</t>
    </r>
  </si>
  <si>
    <t>Customer_ID</t>
  </si>
  <si>
    <t>Customer_Name</t>
  </si>
  <si>
    <t>Region</t>
  </si>
  <si>
    <t>Product_Category</t>
  </si>
  <si>
    <t>Sales</t>
  </si>
  <si>
    <t>Quantity</t>
  </si>
  <si>
    <t>Discount</t>
  </si>
  <si>
    <t>Order_Date</t>
  </si>
  <si>
    <t>Profit</t>
  </si>
  <si>
    <t>CUST019</t>
  </si>
  <si>
    <t>James Davis</t>
  </si>
  <si>
    <t>West</t>
  </si>
  <si>
    <t>Books</t>
  </si>
  <si>
    <t>CUST012</t>
  </si>
  <si>
    <t>Robert Anderson</t>
  </si>
  <si>
    <t>Clothing</t>
  </si>
  <si>
    <t>CUST017</t>
  </si>
  <si>
    <t>James Taylor</t>
  </si>
  <si>
    <t>East</t>
  </si>
  <si>
    <t>CUST005</t>
  </si>
  <si>
    <t>South</t>
  </si>
  <si>
    <t>Electronics</t>
  </si>
  <si>
    <t>CUST030</t>
  </si>
  <si>
    <t>James Wilson</t>
  </si>
  <si>
    <t>North</t>
  </si>
  <si>
    <t>CUST007</t>
  </si>
  <si>
    <t>Michael Anderson</t>
  </si>
  <si>
    <t>Furniture</t>
  </si>
  <si>
    <t>CUST001</t>
  </si>
  <si>
    <t>Linda Wilson</t>
  </si>
  <si>
    <t>CUST026</t>
  </si>
  <si>
    <t>Mary Davis</t>
  </si>
  <si>
    <t>CUST009</t>
  </si>
  <si>
    <t>Linda Jackson</t>
  </si>
  <si>
    <t>Central</t>
  </si>
  <si>
    <t>CUST010</t>
  </si>
  <si>
    <t>David Thomas</t>
  </si>
  <si>
    <t>CUST014</t>
  </si>
  <si>
    <t>Emma Davis</t>
  </si>
  <si>
    <t>Office Supplies</t>
  </si>
  <si>
    <t>CUST023</t>
  </si>
  <si>
    <t>CUST029</t>
  </si>
  <si>
    <t>David Smith</t>
  </si>
  <si>
    <t>Sarah Anderson</t>
  </si>
  <si>
    <t>CUST008</t>
  </si>
  <si>
    <t>Lisa Thomas</t>
  </si>
  <si>
    <t>CUST006</t>
  </si>
  <si>
    <t>Mary Jackson</t>
  </si>
  <si>
    <t>Lisa Davis</t>
  </si>
  <si>
    <t>CUST022</t>
  </si>
  <si>
    <t>Linda Brown</t>
  </si>
  <si>
    <t>John Brown</t>
  </si>
  <si>
    <t>CUST028</t>
  </si>
  <si>
    <t>Linda Taylor</t>
  </si>
  <si>
    <t>CUST025</t>
  </si>
  <si>
    <t>David Brown</t>
  </si>
  <si>
    <t>David Davis</t>
  </si>
  <si>
    <t>CUST021</t>
  </si>
  <si>
    <t>CUST015</t>
  </si>
  <si>
    <t>Mary Wilson</t>
  </si>
  <si>
    <t>CUST016</t>
  </si>
  <si>
    <t>Emma Wilson</t>
  </si>
  <si>
    <t>Linda Davis</t>
  </si>
  <si>
    <t>CUST011</t>
  </si>
  <si>
    <t>Sarah Davis</t>
  </si>
  <si>
    <t>CUST002</t>
  </si>
  <si>
    <t>Emma Taylor</t>
  </si>
  <si>
    <t>CUST003</t>
  </si>
  <si>
    <t>CUST020</t>
  </si>
  <si>
    <t>Linda Moore</t>
  </si>
  <si>
    <t>CUST024</t>
  </si>
  <si>
    <t>David Anderson</t>
  </si>
  <si>
    <t>CUST004</t>
  </si>
  <si>
    <t>CUST013</t>
  </si>
  <si>
    <t>CUST027</t>
  </si>
  <si>
    <t>CUST018</t>
  </si>
  <si>
    <t>1. Apply conditional formatting to highlight top 10 customers based on total purchase.</t>
  </si>
  <si>
    <t>2. Perform WHAT IF Analysis to see impact of changing discount on total profit.</t>
  </si>
  <si>
    <t>Price after discount</t>
  </si>
  <si>
    <t>Cost</t>
  </si>
  <si>
    <t>sales</t>
  </si>
  <si>
    <t>discount</t>
  </si>
  <si>
    <t>price after discount</t>
  </si>
  <si>
    <t>cost</t>
  </si>
  <si>
    <t>profit</t>
  </si>
  <si>
    <t>qty</t>
  </si>
  <si>
    <t>scenario manager</t>
  </si>
  <si>
    <t>3. Use Data Analysis Toolpak to run Linear Regression (Profit vs Sales).</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</si>
  <si>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</si>
  <si>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</si>
  <si>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</si>
  <si>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</si>
  <si>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</si>
  <si>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</si>
  <si>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</si>
  <si>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</si>
  <si>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</si>
  <si>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</si>
  <si>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</si>
  <si>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</si>
  <si>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</si>
  <si>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</si>
  <si>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</si>
  <si>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</si>
  <si>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</si>
  <si>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</si>
  <si>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</si>
  <si>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</si>
  <si>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</si>
  <si>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</si>
  <si>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</si>
  <si>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</si>
  <si>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X Variable 1</t>
  </si>
  <si>
    <t>4. Use 'Descriptive Statistics' from Analysis Toolpak on the dataset.</t>
  </si>
  <si>
    <t>Column1</t>
  </si>
  <si>
    <t>Mean</t>
  </si>
  <si>
    <t>Median</t>
  </si>
  <si>
    <t>Mode</t>
  </si>
  <si>
    <t>Standard Deviation</t>
  </si>
  <si>
    <t>Sample Variance</t>
  </si>
  <si>
    <t>Kurtosis</t>
  </si>
  <si>
    <t>Skewness</t>
  </si>
  <si>
    <t>Range</t>
  </si>
  <si>
    <t>Minimum</t>
  </si>
  <si>
    <t>Maximum</t>
  </si>
  <si>
    <t>Sum</t>
  </si>
  <si>
    <t>Count</t>
  </si>
  <si>
    <t>5. Add up/down arrows on monthly sales growth.</t>
  </si>
  <si>
    <t>month</t>
  </si>
  <si>
    <t>Row Labels</t>
  </si>
  <si>
    <t>Apr-2024</t>
  </si>
  <si>
    <t>Apr-2025</t>
  </si>
  <si>
    <t>Aug-2024</t>
  </si>
  <si>
    <t>Dec-2024</t>
  </si>
  <si>
    <t>Feb-2025</t>
  </si>
  <si>
    <t>Jan-2025</t>
  </si>
  <si>
    <t>Jul-2024</t>
  </si>
  <si>
    <t>Jun-2024</t>
  </si>
  <si>
    <t>Mar-2025</t>
  </si>
  <si>
    <t>May-2024</t>
  </si>
  <si>
    <t>Nov-2024</t>
  </si>
  <si>
    <t>Oct-2024</t>
  </si>
  <si>
    <t>Sep-2024</t>
  </si>
  <si>
    <t>(blank)</t>
  </si>
  <si>
    <t>Grand Total</t>
  </si>
  <si>
    <t>Sum of Sales</t>
  </si>
  <si>
    <t>GROWTH</t>
  </si>
  <si>
    <t>6. Create a timestamp column using NOW().</t>
  </si>
  <si>
    <t>TIMESTAMP</t>
  </si>
  <si>
    <t>using NOW() in column M</t>
  </si>
  <si>
    <t>7. Identify high-value customers using index(), match(), and filters.</t>
  </si>
  <si>
    <t>INDEX AND MATCH</t>
  </si>
  <si>
    <t>FILTER</t>
  </si>
  <si>
    <t>8. Create Pivot Table to analyze total sales by region and product.</t>
  </si>
  <si>
    <t>BAR CHART</t>
  </si>
  <si>
    <t>Jan</t>
  </si>
  <si>
    <t>Feb</t>
  </si>
  <si>
    <t>Mar</t>
  </si>
  <si>
    <t>Apr</t>
  </si>
  <si>
    <t>May</t>
  </si>
  <si>
    <t>Jun</t>
  </si>
  <si>
    <t>Jul</t>
  </si>
  <si>
    <t>Aug</t>
  </si>
  <si>
    <t>Sep</t>
  </si>
  <si>
    <t>Oct</t>
  </si>
  <si>
    <t>Nov</t>
  </si>
  <si>
    <t>Dec</t>
  </si>
  <si>
    <t>LINE CHART</t>
  </si>
  <si>
    <t>PIE CHART</t>
  </si>
  <si>
    <t>9. Create bar, line, and pie charts to visualize KPIs.</t>
  </si>
  <si>
    <r>
      <rPr>
        <b/>
        <sz val="11"/>
        <color theme="1"/>
        <rFont val="Calibri"/>
        <family val="2"/>
        <scheme val="minor"/>
      </rPr>
      <t>TOTAL SALES</t>
    </r>
    <r>
      <rPr>
        <sz val="11"/>
        <color theme="1"/>
        <rFont val="Calibri"/>
        <family val="2"/>
        <scheme val="minor"/>
      </rPr>
      <t xml:space="preserve">
</t>
    </r>
    <r>
      <rPr>
        <b/>
        <sz val="24"/>
        <color theme="1"/>
        <rFont val="Calibri"/>
        <family val="2"/>
        <scheme val="minor"/>
      </rPr>
      <t>195218</t>
    </r>
  </si>
  <si>
    <r>
      <rPr>
        <b/>
        <sz val="11"/>
        <color theme="1"/>
        <rFont val="Calibri"/>
        <family val="2"/>
        <scheme val="minor"/>
      </rPr>
      <t>TOTAL PROFIT</t>
    </r>
    <r>
      <rPr>
        <sz val="11"/>
        <color theme="1"/>
        <rFont val="Calibri"/>
        <family val="2"/>
        <scheme val="minor"/>
      </rPr>
      <t xml:space="preserve">
</t>
    </r>
    <r>
      <rPr>
        <b/>
        <sz val="24"/>
        <color theme="1"/>
        <rFont val="Calibri"/>
        <family val="2"/>
        <scheme val="minor"/>
      </rPr>
      <t>68287</t>
    </r>
  </si>
  <si>
    <r>
      <rPr>
        <b/>
        <sz val="11"/>
        <color theme="1"/>
        <rFont val="Calibri"/>
        <family val="2"/>
        <scheme val="minor"/>
      </rPr>
      <t xml:space="preserve">
TOTAL ORDERS
</t>
    </r>
    <r>
      <rPr>
        <sz val="11"/>
        <color theme="1"/>
        <rFont val="Calibri"/>
        <family val="2"/>
        <scheme val="minor"/>
      </rPr>
      <t xml:space="preserve">
</t>
    </r>
    <r>
      <rPr>
        <b/>
        <sz val="24"/>
        <color theme="1"/>
        <rFont val="Calibri"/>
        <family val="2"/>
        <scheme val="minor"/>
      </rPr>
      <t>200</t>
    </r>
    <r>
      <rPr>
        <sz val="11"/>
        <color theme="1"/>
        <rFont val="Calibri"/>
        <family val="2"/>
        <scheme val="minor"/>
      </rPr>
      <t xml:space="preserve">
</t>
    </r>
  </si>
  <si>
    <r>
      <rPr>
        <b/>
        <sz val="11"/>
        <color theme="1"/>
        <rFont val="Calibri"/>
        <family val="2"/>
        <scheme val="minor"/>
      </rPr>
      <t>AVG DISCOUNT</t>
    </r>
    <r>
      <rPr>
        <sz val="11"/>
        <color theme="1"/>
        <rFont val="Calibri"/>
        <family val="2"/>
        <scheme val="minor"/>
      </rPr>
      <t xml:space="preserve">
</t>
    </r>
    <r>
      <rPr>
        <b/>
        <sz val="24"/>
        <color theme="1"/>
        <rFont val="Calibri"/>
        <family val="2"/>
        <scheme val="minor"/>
      </rPr>
      <t>0.09725</t>
    </r>
  </si>
  <si>
    <t>CATEGORY VS SALES</t>
  </si>
  <si>
    <t>MONTHLY SALES</t>
  </si>
  <si>
    <t>CATEGORICAL SALES PIE CHART</t>
  </si>
  <si>
    <r>
      <rPr>
        <b/>
        <sz val="11"/>
        <color theme="1"/>
        <rFont val="Calibri"/>
        <family val="2"/>
        <scheme val="minor"/>
      </rPr>
      <t>TOP CUSTOMER WITH SALE VALUE
20774.74</t>
    </r>
    <r>
      <rPr>
        <sz val="11"/>
        <color theme="1"/>
        <rFont val="Calibri"/>
        <family val="2"/>
        <scheme val="minor"/>
      </rPr>
      <t xml:space="preserve">
</t>
    </r>
    <r>
      <rPr>
        <sz val="14"/>
        <color theme="1"/>
        <rFont val="Calibri"/>
        <family val="2"/>
        <scheme val="minor"/>
      </rPr>
      <t xml:space="preserve">
</t>
    </r>
    <r>
      <rPr>
        <b/>
        <sz val="14"/>
        <color theme="1"/>
        <rFont val="Calibri"/>
        <family val="2"/>
        <scheme val="minor"/>
      </rPr>
      <t>JAMES WILSON</t>
    </r>
  </si>
  <si>
    <t>MONTHLY SALES GROWTH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</si>
</sst>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Green]\▲\ 0.00;[Red]\▼\ 0.00;0"/>
  </numFmts>
  <fonts count="16" x14ac:knownFonts="1">
    <font>
      <sz val="11"/>
      <color theme="1"/>
      <name val="Calibri"/>
      <scheme val="minor"/>
    </font>
    <font>
      <sz val="11"/>
      <color theme="1"/>
      <name val="Calibri"/>
      <family val="2"/>
      <scheme val="minor"/>
    </font>
    <font>
      <sz val="11"/>
      <color theme="1"/>
      <name val="Calibri"/>
      <family val="2"/>
      <scheme val="minor"/>
    </font>
    <font>
      <b/>
      <sz val="11"/>
      <color theme="1"/>
      <name val="Calibri"/>
    </font>
    <font>
      <sz val="11"/>
      <color theme="1"/>
      <name val="Calibri"/>
    </font>
    <font>
      <b/>
      <sz val="11"/>
      <color theme="1"/>
      <name val="Calibri"/>
      <scheme val="minor"/>
    </font>
    <font>
      <sz val="11"/>
      <color theme="1"/>
      <name val="Calibri"/>
      <scheme val="minor"/>
    </font>
    <font>
      <b/>
      <sz val="11"/>
      <color rgb="FF38761D"/>
      <name val="Calibri"/>
    </font>
    <font>
      <sz val="11"/>
      <color rgb="FF38761D"/>
      <name val="Calibri"/>
    </font>
    <font>
      <b/>
      <sz val="11"/>
      <color theme="1"/>
      <name val="Calibri"/>
      <family val="2"/>
      <scheme val="minor"/>
    </font>
    <font>
      <sz val="11"/>
      <color theme="1"/>
      <name val="Calibri"/>
      <family val="2"/>
    </font>
    <font>
      <i/>
      <sz val="11"/>
      <color theme="1"/>
      <name val="Calibri"/>
      <family val="2"/>
      <scheme val="minor"/>
    </font>
    <font>
      <u/>
      <sz val="11"/>
      <color theme="10"/>
      <name val="Calibri"/>
      <scheme val="minor"/>
    </font>
    <font>
      <b/>
      <sz val="14"/>
      <color theme="1"/>
      <name val="Calibri"/>
      <family val="2"/>
      <scheme val="minor"/>
    </font>
    <font>
      <b/>
      <sz val="24"/>
      <color theme="1"/>
      <name val="Calibri"/>
      <family val="2"/>
      <scheme val="minor"/>
    </font>
    <font>
      <sz val="14"/>
      <color theme="1"/>
      <name val="Calibri"/>
      <family val="2"/>
      <scheme val="minor"/>
    </font>
  </fonts>
  <fills count="6">
    <fill>
      <patternFill patternType="none"/>
    </fill>
    <fill>
      <patternFill patternType="gray125"/>
    </fill>
    <fill>
      <patternFill patternType="solid">
        <fgColor rgb="FFFFF2CC"/>
        <bgColor rgb="FFFFF2CC"/>
      </patternFill>
    </fill>
    <fill>
      <patternFill patternType="solid">
        <fgColor theme="2" tint="-0.14999847407452621"/>
        <bgColor indexed="64"/>
      </patternFill>
    </fill>
    <fill>
      <patternFill patternType="solid">
        <fgColor theme="0" tint="-0.14999847407452621"/>
        <bgColor indexed="64"/>
      </patternFill>
    </fill>
    <fill>
      <patternFill patternType="solid">
        <fgColor theme="4" tint="0.39997558519241921"/>
        <bgColor indexed="64"/>
      </patternFill>
    </fill>
  </fills>
  <borders count="22">
    <border>
      <left/>
      <right/>
      <top/>
      <bottom/>
      <diagonal/>
    </border>
    <border>
      <left style="thin">
        <color rgb="FF000000"/>
      </left>
      <right style="thin">
        <color rgb="FF000000"/>
      </right>
      <top style="thin">
        <color rgb="FF000000"/>
      </top>
      <bottom style="thin">
        <color rgb="FF000000"/>
      </bottom>
      <diagonal/>
    </border>
    <border>
      <left/>
      <right/>
      <top/>
      <bottom style="medium">
        <color indexed="64"/>
      </bottom>
      <diagonal/>
    </border>
    <border>
      <left/>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bottom style="thin">
        <color indexed="64"/>
      </bottom>
      <diagonal/>
    </border>
  </borders>
  <cellStyleXfs count="2">
    <xf numFmtId="0" fontId="0" fillId="0" borderId="0"/>
    <xf numFmtId="0" fontId="12" fillId="0" borderId="0" applyNumberFormat="0" applyFill="0" applyBorder="0" applyAlignment="0" applyProtection="0"/>
  </cellStyleXfs>
  <cellXfs count="56">
    <xf numFmtId="0" fontId="0" fillId="0" borderId="0" xfId="0"/>
    <xf numFmtId="0" fontId="3" fillId="2" borderId="1" xfId="0" applyFont="1" applyFill="1" applyBorder="1" applyAlignment="1">
      <alignment horizontal="center"/>
    </xf>
    <xf numFmtId="0" fontId="4" fillId="0" borderId="0" xfId="0" applyFont="1"/>
    <xf numFmtId="0" fontId="5" fillId="0" borderId="0" xfId="0" applyFont="1"/>
    <xf numFmtId="0" fontId="6" fillId="0" borderId="0" xfId="0" applyFont="1"/>
    <xf numFmtId="164" fontId="6" fillId="0" borderId="0" xfId="0" applyNumberFormat="1" applyFont="1"/>
    <xf numFmtId="0" fontId="10" fillId="0" borderId="1" xfId="0" applyFont="1" applyBorder="1" applyAlignment="1">
      <alignment wrapText="1"/>
    </xf>
    <xf numFmtId="0" fontId="2" fillId="0" borderId="0" xfId="0" applyFont="1"/>
    <xf numFmtId="0" fontId="9" fillId="0" borderId="0" xfId="0" applyFont="1"/>
    <xf numFmtId="0" fontId="6" fillId="3" borderId="0" xfId="0" applyFont="1" applyFill="1"/>
    <xf numFmtId="0" fontId="2" fillId="3" borderId="0" xfId="0" applyFont="1" applyFill="1"/>
    <xf numFmtId="0" fontId="9" fillId="0" borderId="0" xfId="0" applyFont="1" applyAlignment="1">
      <alignment horizontal="center"/>
    </xf>
    <xf numFmtId="0" fontId="0" fillId="0" borderId="2" xfId="0" applyBorder="1"/>
    <xf numFmtId="0" fontId="11" fillId="0" borderId="3" xfId="0" applyFont="1" applyBorder="1" applyAlignment="1">
      <alignment horizontal="center"/>
    </xf>
    <xf numFmtId="0" fontId="11" fillId="0" borderId="3" xfId="0" applyFont="1" applyBorder="1" applyAlignment="1">
      <alignment horizontal="centerContinuous"/>
    </xf>
    <xf numFmtId="0" fontId="9" fillId="0" borderId="0" xfId="0" applyFont="1" applyAlignment="1">
      <alignment horizontal="center"/>
    </xf>
    <xf numFmtId="0" fontId="2" fillId="0" borderId="0" xfId="0" applyFont="1" applyAlignment="1">
      <alignment horizontal="center"/>
    </xf>
    <xf numFmtId="0" fontId="2" fillId="3" borderId="0" xfId="0" applyFont="1" applyFill="1" applyAlignment="1">
      <alignment horizontal="center"/>
    </xf>
    <xf numFmtId="0" fontId="12" fillId="0" borderId="0" xfId="1" applyAlignment="1">
      <alignment horizontal="center"/>
    </xf>
    <xf numFmtId="0" fontId="9" fillId="0" borderId="0" xfId="0" applyFont="1" applyAlignment="1"/>
    <xf numFmtId="0" fontId="9" fillId="0" borderId="0" xfId="0" applyFont="1" applyAlignment="1"/>
    <xf numFmtId="0" fontId="0" fillId="0" borderId="0" xfId="0" applyAlignment="1">
      <alignment horizontal="center"/>
    </xf>
    <xf numFmtId="0" fontId="9" fillId="0" borderId="4" xfId="0" applyFont="1" applyBorder="1" applyAlignment="1">
      <alignment horizontal="left"/>
    </xf>
    <xf numFmtId="0" fontId="5" fillId="0" borderId="4" xfId="0" applyFont="1" applyBorder="1"/>
    <xf numFmtId="0" fontId="9" fillId="0" borderId="5" xfId="0" applyFont="1" applyBorder="1"/>
    <xf numFmtId="0" fontId="6" fillId="0" borderId="4" xfId="0" applyFont="1" applyBorder="1"/>
    <xf numFmtId="0" fontId="6" fillId="4" borderId="4" xfId="0" applyFont="1" applyFill="1" applyBorder="1"/>
    <xf numFmtId="0" fontId="0" fillId="0" borderId="0" xfId="0" pivotButton="1"/>
    <xf numFmtId="0" fontId="0" fillId="0" borderId="0" xfId="0" applyAlignment="1">
      <alignment horizontal="left"/>
    </xf>
    <xf numFmtId="0" fontId="0" fillId="0" borderId="0" xfId="0" applyNumberFormat="1"/>
    <xf numFmtId="0" fontId="1" fillId="4" borderId="0" xfId="0" applyFont="1" applyFill="1"/>
    <xf numFmtId="0" fontId="1" fillId="4" borderId="4" xfId="0" applyFont="1" applyFill="1" applyBorder="1"/>
    <xf numFmtId="0" fontId="1" fillId="0" borderId="4" xfId="0" applyFont="1" applyBorder="1"/>
    <xf numFmtId="165" fontId="1" fillId="0" borderId="4" xfId="0" applyNumberFormat="1" applyFont="1" applyBorder="1"/>
    <xf numFmtId="165" fontId="0" fillId="0" borderId="4" xfId="0" applyNumberFormat="1" applyBorder="1"/>
    <xf numFmtId="22" fontId="0" fillId="0" borderId="0" xfId="0" applyNumberFormat="1"/>
    <xf numFmtId="0" fontId="1" fillId="0" borderId="0" xfId="0" applyFont="1" applyAlignment="1">
      <alignment horizontal="center"/>
    </xf>
    <xf numFmtId="0" fontId="0" fillId="4" borderId="0" xfId="0" applyFill="1"/>
    <xf numFmtId="0" fontId="6" fillId="0" borderId="2" xfId="0" applyFont="1" applyBorder="1"/>
    <xf numFmtId="0" fontId="1" fillId="5" borderId="0" xfId="0" applyFont="1" applyFill="1" applyAlignment="1">
      <alignment horizontal="center" wrapText="1"/>
    </xf>
    <xf numFmtId="0" fontId="1" fillId="5" borderId="6" xfId="0" applyFont="1" applyFill="1" applyBorder="1" applyAlignment="1">
      <alignment horizontal="center" wrapText="1"/>
    </xf>
    <xf numFmtId="0" fontId="0" fillId="5" borderId="7" xfId="0" applyFill="1" applyBorder="1" applyAlignment="1">
      <alignment horizontal="center"/>
    </xf>
    <xf numFmtId="0" fontId="0" fillId="5" borderId="8" xfId="0" applyFill="1" applyBorder="1" applyAlignment="1">
      <alignment horizontal="center"/>
    </xf>
    <xf numFmtId="0" fontId="0" fillId="5" borderId="9" xfId="0" applyFill="1" applyBorder="1" applyAlignment="1">
      <alignment horizontal="center"/>
    </xf>
    <xf numFmtId="0" fontId="0" fillId="5" borderId="10" xfId="0" applyFill="1" applyBorder="1" applyAlignment="1">
      <alignment horizontal="center"/>
    </xf>
    <xf numFmtId="0" fontId="0" fillId="5" borderId="11" xfId="0" applyFill="1" applyBorder="1" applyAlignment="1">
      <alignment horizontal="center"/>
    </xf>
    <xf numFmtId="0" fontId="1" fillId="5" borderId="12" xfId="0" applyFont="1" applyFill="1" applyBorder="1" applyAlignment="1">
      <alignment horizontal="center" wrapText="1"/>
    </xf>
    <xf numFmtId="0" fontId="1" fillId="5" borderId="13" xfId="0" applyFont="1" applyFill="1" applyBorder="1" applyAlignment="1">
      <alignment horizontal="center" wrapText="1"/>
    </xf>
    <xf numFmtId="0" fontId="1" fillId="5" borderId="14" xfId="0" applyFont="1" applyFill="1" applyBorder="1" applyAlignment="1">
      <alignment horizontal="center" wrapText="1"/>
    </xf>
    <xf numFmtId="0" fontId="1" fillId="5" borderId="15" xfId="0" applyFont="1" applyFill="1" applyBorder="1" applyAlignment="1">
      <alignment horizontal="center" wrapText="1"/>
    </xf>
    <xf numFmtId="0" fontId="1" fillId="5" borderId="16" xfId="0" applyFont="1" applyFill="1" applyBorder="1" applyAlignment="1">
      <alignment horizontal="center" wrapText="1"/>
    </xf>
    <xf numFmtId="0" fontId="1" fillId="5" borderId="17" xfId="0" applyFont="1" applyFill="1" applyBorder="1" applyAlignment="1">
      <alignment horizontal="center" wrapText="1"/>
    </xf>
    <xf numFmtId="0" fontId="9" fillId="0" borderId="18" xfId="0" applyFont="1" applyBorder="1" applyAlignment="1">
      <alignment horizontal="center"/>
    </xf>
    <xf numFmtId="0" fontId="9" fillId="0" borderId="19" xfId="0" applyFont="1" applyBorder="1" applyAlignment="1">
      <alignment horizontal="center"/>
    </xf>
    <xf numFmtId="0" fontId="9" fillId="0" borderId="20" xfId="0" applyFont="1" applyBorder="1" applyAlignment="1">
      <alignment horizontal="center"/>
    </xf>
    <xf numFmtId="0" fontId="1" fillId="4" borderId="21" xfId="0" applyFont="1" applyFill="1" applyBorder="1"/>
  </cellXfs>
  <cellStyles count="2">
    <cellStyle name="Hyperlink" xfId="1" builtinId="8"/>
    <cellStyle name="Normal" xfId="0" builtinId="0"/>
  </cellStyles>
  <dxfs count="6">
    <dxf>
      <fill>
        <patternFill>
          <bgColor theme="2" tint="-0.14996795556505021"/>
        </patternFill>
      </fill>
    </dxf>
    <dxf>
      <fill>
        <patternFill>
          <bgColor theme="2" tint="-0.14996795556505021"/>
        </patternFill>
      </fill>
    </dxf>
    <dxf>
      <fill>
        <patternFill>
          <bgColor theme="2" tint="-0.14996795556505021"/>
        </patternFill>
      </fill>
    </dxf>
    <dxf>
      <fill>
        <patternFill>
          <bgColor theme="2" tint="-0.14996795556505021"/>
        </patternFill>
      </fill>
    </dxf>
    <dxf>
      <fill>
        <patternFill>
          <bgColor theme="2" tint="-0.14996795556505021"/>
        </patternFill>
      </fill>
    </dxf>
    <dxf>
      <fill>
        <patternFill>
          <bgColor theme="0" tint="-0.2499465926084170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2 Analyzer.xlsx]SalesVsRegion!PivotTable3</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SalesVsRegion!$B$3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SalesVsRegion!$A$4:$A$10</c:f>
              <c:strCache>
                <c:ptCount val="6"/>
                <c:pt idx="0">
                  <c:v>Central</c:v>
                </c:pt>
                <c:pt idx="1">
                  <c:v>East</c:v>
                </c:pt>
                <c:pt idx="2">
                  <c:v>North</c:v>
                </c:pt>
                <c:pt idx="3">
                  <c:v>South</c:v>
                </c:pt>
                <c:pt idx="4">
                  <c:v>West</c:v>
                </c:pt>
                <c:pt idx="5">
                  <c:v>(blank)</c:v>
                </c:pt>
              </c:strCache>
            </c:strRef>
          </c:cat>
          <c:val>
            <c:numRef>
              <c:f>SalesVsRegion!$B$4:$B$10</c:f>
              <c:numCache>
                <c:formatCode>General</c:formatCode>
                <c:ptCount val="6"/>
                <c:pt idx="0">
                  <c:v>43468.33</c:v>
                </c:pt>
                <c:pt idx="1">
                  <c:v>32441.64</c:v>
                </c:pt>
                <c:pt idx="2">
                  <c:v>34975.42</c:v>
                </c:pt>
                <c:pt idx="3">
                  <c:v>40248.79</c:v>
                </c:pt>
                <c:pt idx="4">
                  <c:v>44083.58</c:v>
                </c:pt>
              </c:numCache>
            </c:numRef>
          </c:val>
          <c:extLst>
            <c:ext xmlns:c16="http://schemas.microsoft.com/office/drawing/2014/chart" uri="{C3380CC4-5D6E-409C-BE32-E72D297353CC}">
              <c16:uniqueId val="{00000000-EF35-4E5E-92B8-DC43D68C0F83}"/>
            </c:ext>
          </c:extLst>
        </c:ser>
        <c:dLbls>
          <c:showLegendKey val="0"/>
          <c:showVal val="0"/>
          <c:showCatName val="0"/>
          <c:showSerName val="0"/>
          <c:showPercent val="0"/>
          <c:showBubbleSize val="0"/>
        </c:dLbls>
        <c:gapWidth val="100"/>
        <c:overlap val="-24"/>
        <c:axId val="1771987231"/>
        <c:axId val="1771987711"/>
      </c:barChart>
      <c:catAx>
        <c:axId val="177198723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71987711"/>
        <c:crosses val="autoZero"/>
        <c:auto val="1"/>
        <c:lblAlgn val="ctr"/>
        <c:lblOffset val="100"/>
        <c:noMultiLvlLbl val="0"/>
      </c:catAx>
      <c:valAx>
        <c:axId val="177198771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719872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2 Analyzer.xlsx]visualization!PivotTable4</c:name>
    <c:fmtId val="1"/>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visualization!$B$3</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visualization!$A$4:$A$10</c:f>
              <c:strCache>
                <c:ptCount val="6"/>
                <c:pt idx="0">
                  <c:v>Books</c:v>
                </c:pt>
                <c:pt idx="1">
                  <c:v>Clothing</c:v>
                </c:pt>
                <c:pt idx="2">
                  <c:v>Electronics</c:v>
                </c:pt>
                <c:pt idx="3">
                  <c:v>Furniture</c:v>
                </c:pt>
                <c:pt idx="4">
                  <c:v>Office Supplies</c:v>
                </c:pt>
                <c:pt idx="5">
                  <c:v>(blank)</c:v>
                </c:pt>
              </c:strCache>
            </c:strRef>
          </c:cat>
          <c:val>
            <c:numRef>
              <c:f>visualization!$B$4:$B$10</c:f>
              <c:numCache>
                <c:formatCode>General</c:formatCode>
                <c:ptCount val="6"/>
                <c:pt idx="0">
                  <c:v>47002.460000000006</c:v>
                </c:pt>
                <c:pt idx="1">
                  <c:v>41927.589999999989</c:v>
                </c:pt>
                <c:pt idx="2">
                  <c:v>41044.000000000007</c:v>
                </c:pt>
                <c:pt idx="3">
                  <c:v>36612.89</c:v>
                </c:pt>
                <c:pt idx="4">
                  <c:v>28630.819999999992</c:v>
                </c:pt>
              </c:numCache>
            </c:numRef>
          </c:val>
          <c:extLst>
            <c:ext xmlns:c16="http://schemas.microsoft.com/office/drawing/2014/chart" uri="{C3380CC4-5D6E-409C-BE32-E72D297353CC}">
              <c16:uniqueId val="{00000000-829B-4BC8-8DB5-3C85EE9536D2}"/>
            </c:ext>
          </c:extLst>
        </c:ser>
        <c:dLbls>
          <c:dLblPos val="inEnd"/>
          <c:showLegendKey val="0"/>
          <c:showVal val="1"/>
          <c:showCatName val="0"/>
          <c:showSerName val="0"/>
          <c:showPercent val="0"/>
          <c:showBubbleSize val="0"/>
        </c:dLbls>
        <c:gapWidth val="315"/>
        <c:overlap val="-40"/>
        <c:axId val="1477260623"/>
        <c:axId val="1477259183"/>
      </c:barChart>
      <c:catAx>
        <c:axId val="1477260623"/>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77259183"/>
        <c:crosses val="autoZero"/>
        <c:auto val="1"/>
        <c:lblAlgn val="ctr"/>
        <c:lblOffset val="100"/>
        <c:noMultiLvlLbl val="0"/>
      </c:catAx>
      <c:valAx>
        <c:axId val="1477259183"/>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772606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2 Analyzer.xlsx]visualization!PivotTable5</c:name>
    <c:fmtId val="1"/>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visualization!$J$3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visualization!$I$4:$I$16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visualization!$J$4:$J$16</c:f>
              <c:numCache>
                <c:formatCode>General</c:formatCode>
                <c:ptCount val="12"/>
                <c:pt idx="0">
                  <c:v>14914.650000000001</c:v>
                </c:pt>
                <c:pt idx="1">
                  <c:v>14006.359999999999</c:v>
                </c:pt>
                <c:pt idx="2">
                  <c:v>17655.219999999998</c:v>
                </c:pt>
                <c:pt idx="3">
                  <c:v>22242.129999999997</c:v>
                </c:pt>
                <c:pt idx="4">
                  <c:v>18507.339999999997</c:v>
                </c:pt>
                <c:pt idx="5">
                  <c:v>20187.509999999998</c:v>
                </c:pt>
                <c:pt idx="6">
                  <c:v>11609.039999999999</c:v>
                </c:pt>
                <c:pt idx="7">
                  <c:v>10091.699999999999</c:v>
                </c:pt>
                <c:pt idx="8">
                  <c:v>20533.499999999996</c:v>
                </c:pt>
                <c:pt idx="9">
                  <c:v>14215.240000000002</c:v>
                </c:pt>
                <c:pt idx="10">
                  <c:v>20135.030000000002</c:v>
                </c:pt>
                <c:pt idx="11">
                  <c:v>11120.04</c:v>
                </c:pt>
              </c:numCache>
            </c:numRef>
          </c:val>
          <c:smooth val="0"/>
          <c:extLst>
            <c:ext xmlns:c16="http://schemas.microsoft.com/office/drawing/2014/chart" uri="{C3380CC4-5D6E-409C-BE32-E72D297353CC}">
              <c16:uniqueId val="{00000000-1E70-4F98-B149-038CD293557B}"/>
            </c:ext>
          </c:extLst>
        </c:ser>
        <c:dLbls>
          <c:showLegendKey val="0"/>
          <c:showVal val="0"/>
          <c:showCatName val="0"/>
          <c:showSerName val="0"/>
          <c:showPercent val="0"/>
          <c:showBubbleSize val="0"/>
        </c:dLbls>
        <c:marker val="1"/>
        <c:smooth val="0"/>
        <c:axId val="1467550159"/>
        <c:axId val="1471966399"/>
      </c:lineChart>
      <c:catAx>
        <c:axId val="1467550159"/>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71966399"/>
        <c:crosses val="autoZero"/>
        <c:auto val="1"/>
        <c:lblAlgn val="ctr"/>
        <c:lblOffset val="100"/>
        <c:noMultiLvlLbl val="0"/>
      </c:catAx>
      <c:valAx>
        <c:axId val="147196639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675501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2 Analyzer.xlsx]visualization!PivotTable8</c:name>
    <c:fmtId val="1"/>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visualization!$Q$3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visualization!$P$4:$P$10</c:f>
              <c:strCache>
                <c:ptCount val="6"/>
                <c:pt idx="0">
                  <c:v>Central</c:v>
                </c:pt>
                <c:pt idx="1">
                  <c:v>East</c:v>
                </c:pt>
                <c:pt idx="2">
                  <c:v>North</c:v>
                </c:pt>
                <c:pt idx="3">
                  <c:v>South</c:v>
                </c:pt>
                <c:pt idx="4">
                  <c:v>West</c:v>
                </c:pt>
                <c:pt idx="5">
                  <c:v>(blank)</c:v>
                </c:pt>
              </c:strCache>
            </c:strRef>
          </c:cat>
          <c:val>
            <c:numRef>
              <c:f>visualization!$Q$4:$Q$10</c:f>
              <c:numCache>
                <c:formatCode>General</c:formatCode>
                <c:ptCount val="6"/>
                <c:pt idx="0">
                  <c:v>43468.33</c:v>
                </c:pt>
                <c:pt idx="1">
                  <c:v>32441.64</c:v>
                </c:pt>
                <c:pt idx="2">
                  <c:v>34975.42</c:v>
                </c:pt>
                <c:pt idx="3">
                  <c:v>40248.79</c:v>
                </c:pt>
                <c:pt idx="4">
                  <c:v>44083.58</c:v>
                </c:pt>
              </c:numCache>
            </c:numRef>
          </c:val>
          <c:extLst>
            <c:ext xmlns:c16="http://schemas.microsoft.com/office/drawing/2014/chart" uri="{C3380CC4-5D6E-409C-BE32-E72D297353CC}">
              <c16:uniqueId val="{00000000-67AD-4226-BBF9-A166D986E9DB}"/>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2 Analyzer.xlsx]visualization!PivotTable4</c:name>
    <c:fmtId val="6"/>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visualization!$B$3</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visualization!$A$4:$A$10</c:f>
              <c:strCache>
                <c:ptCount val="6"/>
                <c:pt idx="0">
                  <c:v>Books</c:v>
                </c:pt>
                <c:pt idx="1">
                  <c:v>Clothing</c:v>
                </c:pt>
                <c:pt idx="2">
                  <c:v>Electronics</c:v>
                </c:pt>
                <c:pt idx="3">
                  <c:v>Furniture</c:v>
                </c:pt>
                <c:pt idx="4">
                  <c:v>Office Supplies</c:v>
                </c:pt>
                <c:pt idx="5">
                  <c:v>(blank)</c:v>
                </c:pt>
              </c:strCache>
            </c:strRef>
          </c:cat>
          <c:val>
            <c:numRef>
              <c:f>visualization!$B$4:$B$10</c:f>
              <c:numCache>
                <c:formatCode>General</c:formatCode>
                <c:ptCount val="6"/>
                <c:pt idx="0">
                  <c:v>47002.460000000006</c:v>
                </c:pt>
                <c:pt idx="1">
                  <c:v>41927.589999999989</c:v>
                </c:pt>
                <c:pt idx="2">
                  <c:v>41044.000000000007</c:v>
                </c:pt>
                <c:pt idx="3">
                  <c:v>36612.89</c:v>
                </c:pt>
                <c:pt idx="4">
                  <c:v>28630.819999999992</c:v>
                </c:pt>
              </c:numCache>
            </c:numRef>
          </c:val>
          <c:extLst>
            <c:ext xmlns:c16="http://schemas.microsoft.com/office/drawing/2014/chart" uri="{C3380CC4-5D6E-409C-BE32-E72D297353CC}">
              <c16:uniqueId val="{00000000-46A4-4E22-BE69-1D104222632D}"/>
            </c:ext>
          </c:extLst>
        </c:ser>
        <c:dLbls>
          <c:dLblPos val="inEnd"/>
          <c:showLegendKey val="0"/>
          <c:showVal val="1"/>
          <c:showCatName val="0"/>
          <c:showSerName val="0"/>
          <c:showPercent val="0"/>
          <c:showBubbleSize val="0"/>
        </c:dLbls>
        <c:gapWidth val="315"/>
        <c:overlap val="-40"/>
        <c:axId val="1477260623"/>
        <c:axId val="1477259183"/>
      </c:barChart>
      <c:catAx>
        <c:axId val="1477260623"/>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77259183"/>
        <c:crosses val="autoZero"/>
        <c:auto val="1"/>
        <c:lblAlgn val="ctr"/>
        <c:lblOffset val="100"/>
        <c:noMultiLvlLbl val="0"/>
      </c:catAx>
      <c:valAx>
        <c:axId val="1477259183"/>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772606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2 Analyzer.xlsx]visualization!PivotTable5</c:name>
    <c:fmtId val="6"/>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visualization!$J$3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visualization!$I$4:$I$16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visualization!$J$4:$J$16</c:f>
              <c:numCache>
                <c:formatCode>General</c:formatCode>
                <c:ptCount val="12"/>
                <c:pt idx="0">
                  <c:v>14914.650000000001</c:v>
                </c:pt>
                <c:pt idx="1">
                  <c:v>14006.359999999999</c:v>
                </c:pt>
                <c:pt idx="2">
                  <c:v>17655.219999999998</c:v>
                </c:pt>
                <c:pt idx="3">
                  <c:v>22242.129999999997</c:v>
                </c:pt>
                <c:pt idx="4">
                  <c:v>18507.339999999997</c:v>
                </c:pt>
                <c:pt idx="5">
                  <c:v>20187.509999999998</c:v>
                </c:pt>
                <c:pt idx="6">
                  <c:v>11609.039999999999</c:v>
                </c:pt>
                <c:pt idx="7">
                  <c:v>10091.699999999999</c:v>
                </c:pt>
                <c:pt idx="8">
                  <c:v>20533.499999999996</c:v>
                </c:pt>
                <c:pt idx="9">
                  <c:v>14215.240000000002</c:v>
                </c:pt>
                <c:pt idx="10">
                  <c:v>20135.030000000002</c:v>
                </c:pt>
                <c:pt idx="11">
                  <c:v>11120.04</c:v>
                </c:pt>
              </c:numCache>
            </c:numRef>
          </c:val>
          <c:smooth val="0"/>
          <c:extLst>
            <c:ext xmlns:c16="http://schemas.microsoft.com/office/drawing/2014/chart" uri="{C3380CC4-5D6E-409C-BE32-E72D297353CC}">
              <c16:uniqueId val="{00000000-C263-442B-91E0-32B06A26DE1D}"/>
            </c:ext>
          </c:extLst>
        </c:ser>
        <c:dLbls>
          <c:showLegendKey val="0"/>
          <c:showVal val="0"/>
          <c:showCatName val="0"/>
          <c:showSerName val="0"/>
          <c:showPercent val="0"/>
          <c:showBubbleSize val="0"/>
        </c:dLbls>
        <c:marker val="1"/>
        <c:smooth val="0"/>
        <c:axId val="1467550159"/>
        <c:axId val="1471966399"/>
      </c:lineChart>
      <c:catAx>
        <c:axId val="1467550159"/>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71966399"/>
        <c:crosses val="autoZero"/>
        <c:auto val="1"/>
        <c:lblAlgn val="ctr"/>
        <c:lblOffset val="100"/>
        <c:noMultiLvlLbl val="0"/>
      </c:catAx>
      <c:valAx>
        <c:axId val="147196639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675501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2 Analyzer.xlsx]visualization!PivotTable8</c:name>
    <c:fmtId val="6"/>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visualization!$Q$3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221B-4839-940A-71DDC1EA3DC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221B-4839-940A-71DDC1EA3DCA}"/>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21B-4839-940A-71DDC1EA3DCA}"/>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221B-4839-940A-71DDC1EA3DCA}"/>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221B-4839-940A-71DDC1EA3DCA}"/>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221B-4839-940A-71DDC1EA3DC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visualization!$P$4:$P$10</c:f>
              <c:strCache>
                <c:ptCount val="6"/>
                <c:pt idx="0">
                  <c:v>Central</c:v>
                </c:pt>
                <c:pt idx="1">
                  <c:v>East</c:v>
                </c:pt>
                <c:pt idx="2">
                  <c:v>North</c:v>
                </c:pt>
                <c:pt idx="3">
                  <c:v>South</c:v>
                </c:pt>
                <c:pt idx="4">
                  <c:v>West</c:v>
                </c:pt>
                <c:pt idx="5">
                  <c:v>(blank)</c:v>
                </c:pt>
              </c:strCache>
            </c:strRef>
          </c:cat>
          <c:val>
            <c:numRef>
              <c:f>visualization!$Q$4:$Q$10</c:f>
              <c:numCache>
                <c:formatCode>General</c:formatCode>
                <c:ptCount val="6"/>
                <c:pt idx="0">
                  <c:v>43468.33</c:v>
                </c:pt>
                <c:pt idx="1">
                  <c:v>32441.64</c:v>
                </c:pt>
                <c:pt idx="2">
                  <c:v>34975.42</c:v>
                </c:pt>
                <c:pt idx="3">
                  <c:v>40248.79</c:v>
                </c:pt>
                <c:pt idx="4">
                  <c:v>44083.58</c:v>
                </c:pt>
              </c:numCache>
            </c:numRef>
          </c:val>
          <c:extLst>
            <c:ext xmlns:c16="http://schemas.microsoft.com/office/drawing/2014/chart" uri="{C3380CC4-5D6E-409C-BE32-E72D297353CC}">
              <c16:uniqueId val="{0000000C-221B-4839-940A-71DDC1EA3DCA}"/>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2</xdr:col>
      <xdr:colOff>205740</xdr:colOff>
      <xdr:row>1</xdr:row>
      <xdr:rowOff>179070</xdr:rowOff>
    </xdr:from>
    <xdr:to>
      <xdr:col>9</xdr:col>
      <xdr:colOff>510540</xdr:colOff>
      <xdr:row>16</xdr:row>
      <xdr:rowOff>179070</xdr:rowOff>
    </xdr:to>
    <xdr:graphicFrame macro="">
      <xdr:nvGraphicFramePr>
        <xdr:cNvPr id="2" name="Chart 1">
          <a:extLst>
            <a:ext uri="{FF2B5EF4-FFF2-40B4-BE49-F238E27FC236}">
              <a16:creationId xmlns:a16="http://schemas.microsoft.com/office/drawing/2014/main" id="{4A1EE4AF-2000-5AAE-74F6-90A78F8597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xdr:colOff>
      <xdr:row>11</xdr:row>
      <xdr:rowOff>95250</xdr:rowOff>
    </xdr:from>
    <xdr:to>
      <xdr:col>6</xdr:col>
      <xdr:colOff>441960</xdr:colOff>
      <xdr:row>26</xdr:row>
      <xdr:rowOff>95250</xdr:rowOff>
    </xdr:to>
    <xdr:graphicFrame macro="">
      <xdr:nvGraphicFramePr>
        <xdr:cNvPr id="2" name="Chart 1">
          <a:extLst>
            <a:ext uri="{FF2B5EF4-FFF2-40B4-BE49-F238E27FC236}">
              <a16:creationId xmlns:a16="http://schemas.microsoft.com/office/drawing/2014/main" id="{AAAFF85C-2FBD-2575-5C13-83272B6B5B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30480</xdr:colOff>
      <xdr:row>17</xdr:row>
      <xdr:rowOff>3810</xdr:rowOff>
    </xdr:from>
    <xdr:to>
      <xdr:col>13</xdr:col>
      <xdr:colOff>502920</xdr:colOff>
      <xdr:row>32</xdr:row>
      <xdr:rowOff>3810</xdr:rowOff>
    </xdr:to>
    <xdr:graphicFrame macro="">
      <xdr:nvGraphicFramePr>
        <xdr:cNvPr id="3" name="Chart 2">
          <a:extLst>
            <a:ext uri="{FF2B5EF4-FFF2-40B4-BE49-F238E27FC236}">
              <a16:creationId xmlns:a16="http://schemas.microsoft.com/office/drawing/2014/main" id="{4A4808BA-7414-4497-34EA-E1026248C1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137160</xdr:colOff>
      <xdr:row>11</xdr:row>
      <xdr:rowOff>3810</xdr:rowOff>
    </xdr:from>
    <xdr:to>
      <xdr:col>20</xdr:col>
      <xdr:colOff>320040</xdr:colOff>
      <xdr:row>26</xdr:row>
      <xdr:rowOff>3810</xdr:rowOff>
    </xdr:to>
    <xdr:graphicFrame macro="">
      <xdr:nvGraphicFramePr>
        <xdr:cNvPr id="7" name="Chart 6">
          <a:extLst>
            <a:ext uri="{FF2B5EF4-FFF2-40B4-BE49-F238E27FC236}">
              <a16:creationId xmlns:a16="http://schemas.microsoft.com/office/drawing/2014/main" id="{47DCDA41-5A4B-6967-48F7-3843003FB2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579120</xdr:colOff>
      <xdr:row>8</xdr:row>
      <xdr:rowOff>99060</xdr:rowOff>
    </xdr:from>
    <xdr:to>
      <xdr:col>8</xdr:col>
      <xdr:colOff>274320</xdr:colOff>
      <xdr:row>23</xdr:row>
      <xdr:rowOff>99060</xdr:rowOff>
    </xdr:to>
    <xdr:graphicFrame macro="">
      <xdr:nvGraphicFramePr>
        <xdr:cNvPr id="2" name="Chart 1">
          <a:extLst>
            <a:ext uri="{FF2B5EF4-FFF2-40B4-BE49-F238E27FC236}">
              <a16:creationId xmlns:a16="http://schemas.microsoft.com/office/drawing/2014/main" id="{BDBD5DF9-FF7B-4C96-857C-4A3DCCCDF1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375634</xdr:colOff>
      <xdr:row>8</xdr:row>
      <xdr:rowOff>107325</xdr:rowOff>
    </xdr:from>
    <xdr:to>
      <xdr:col>16</xdr:col>
      <xdr:colOff>53662</xdr:colOff>
      <xdr:row>23</xdr:row>
      <xdr:rowOff>113765</xdr:rowOff>
    </xdr:to>
    <xdr:graphicFrame macro="">
      <xdr:nvGraphicFramePr>
        <xdr:cNvPr id="3" name="Chart 2">
          <a:extLst>
            <a:ext uri="{FF2B5EF4-FFF2-40B4-BE49-F238E27FC236}">
              <a16:creationId xmlns:a16="http://schemas.microsoft.com/office/drawing/2014/main" id="{4E899804-CC88-439C-925A-D6305CBDC5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9</xdr:col>
      <xdr:colOff>225380</xdr:colOff>
      <xdr:row>26</xdr:row>
      <xdr:rowOff>10732</xdr:rowOff>
    </xdr:from>
    <xdr:to>
      <xdr:col>11</xdr:col>
      <xdr:colOff>304800</xdr:colOff>
      <xdr:row>39</xdr:row>
      <xdr:rowOff>95115</xdr:rowOff>
    </xdr:to>
    <mc:AlternateContent xmlns:mc="http://schemas.openxmlformats.org/markup-compatibility/2006">
      <mc:Choice xmlns:a14="http://schemas.microsoft.com/office/drawing/2010/main" Requires="a14">
        <xdr:graphicFrame macro="">
          <xdr:nvGraphicFramePr>
            <xdr:cNvPr id="7" name="Product_Category 1">
              <a:extLst>
                <a:ext uri="{FF2B5EF4-FFF2-40B4-BE49-F238E27FC236}">
                  <a16:creationId xmlns:a16="http://schemas.microsoft.com/office/drawing/2014/main" id="{DC3AF86B-6269-40B7-B632-B1BAFE89F212}"/>
                </a:ext>
              </a:extLst>
            </xdr:cNvPr>
            <xdr:cNvGraphicFramePr/>
          </xdr:nvGraphicFramePr>
          <xdr:xfrm>
            <a:off x="0" y="0"/>
            <a:ext cx="0" cy="0"/>
          </xdr:xfrm>
          <a:graphic>
            <a:graphicData uri="http://schemas.microsoft.com/office/drawing/2010/slicer">
              <sle:slicer xmlns:sle="http://schemas.microsoft.com/office/drawing/2010/slicer" name="Product_Category 1"/>
            </a:graphicData>
          </a:graphic>
        </xdr:graphicFrame>
      </mc:Choice>
      <mc:Fallback>
        <xdr:sp macro="" textlink="">
          <xdr:nvSpPr>
            <xdr:cNvPr id="0" name=""/>
            <xdr:cNvSpPr>
              <a:spLocks noTextEdit="1"/>
            </xdr:cNvSpPr>
          </xdr:nvSpPr>
          <xdr:spPr>
            <a:xfrm>
              <a:off x="6450169" y="4808112"/>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407831</xdr:colOff>
      <xdr:row>8</xdr:row>
      <xdr:rowOff>107325</xdr:rowOff>
    </xdr:from>
    <xdr:to>
      <xdr:col>24</xdr:col>
      <xdr:colOff>85860</xdr:colOff>
      <xdr:row>23</xdr:row>
      <xdr:rowOff>113764</xdr:rowOff>
    </xdr:to>
    <xdr:graphicFrame macro="">
      <xdr:nvGraphicFramePr>
        <xdr:cNvPr id="9" name="Chart 8">
          <a:extLst>
            <a:ext uri="{FF2B5EF4-FFF2-40B4-BE49-F238E27FC236}">
              <a16:creationId xmlns:a16="http://schemas.microsoft.com/office/drawing/2014/main" id="{82AB4F8A-6C3B-49BE-B6CA-17603E2DBB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11</xdr:col>
      <xdr:colOff>440028</xdr:colOff>
      <xdr:row>26</xdr:row>
      <xdr:rowOff>21465</xdr:rowOff>
    </xdr:from>
    <xdr:to>
      <xdr:col>14</xdr:col>
      <xdr:colOff>240405</xdr:colOff>
      <xdr:row>39</xdr:row>
      <xdr:rowOff>105848</xdr:rowOff>
    </xdr:to>
    <mc:AlternateContent xmlns:mc="http://schemas.openxmlformats.org/markup-compatibility/2006">
      <mc:Choice xmlns:a14="http://schemas.microsoft.com/office/drawing/2010/main" Requires="a14">
        <xdr:graphicFrame macro="">
          <xdr:nvGraphicFramePr>
            <xdr:cNvPr id="10" name="Region">
              <a:extLst>
                <a:ext uri="{FF2B5EF4-FFF2-40B4-BE49-F238E27FC236}">
                  <a16:creationId xmlns:a16="http://schemas.microsoft.com/office/drawing/2014/main" id="{B63F5C46-5971-44F4-A7DB-D246AA0C45C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8414197" y="4818845"/>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hmed" refreshedDate="46134.649462847221" createdVersion="8" refreshedVersion="8" minRefreshableVersion="3" recordCount="208" xr:uid="{AB0E0B4B-884D-45BC-BF83-0DC0AA55758B}">
  <cacheSource type="worksheet">
    <worksheetSource ref="A1:L1048576" sheet="Dataset"/>
  </cacheSource>
  <cacheFields count="12">
    <cacheField name="Customer_ID" numFmtId="0">
      <sharedItems containsBlank="1"/>
    </cacheField>
    <cacheField name="Customer_Name" numFmtId="0">
      <sharedItems containsBlank="1"/>
    </cacheField>
    <cacheField name="Region" numFmtId="0">
      <sharedItems containsBlank="1" count="6">
        <s v="West"/>
        <s v="East"/>
        <s v="South"/>
        <s v="North"/>
        <s v="Central"/>
        <m/>
      </sharedItems>
    </cacheField>
    <cacheField name="Product_Category" numFmtId="0">
      <sharedItems containsBlank="1" count="6">
        <s v="Books"/>
        <s v="Clothing"/>
        <s v="Electronics"/>
        <s v="Furniture"/>
        <s v="Office Supplies"/>
        <m/>
      </sharedItems>
    </cacheField>
    <cacheField name="Sales" numFmtId="0">
      <sharedItems containsString="0" containsBlank="1" containsNumber="1" minValue="258.51" maxValue="1923.66"/>
    </cacheField>
    <cacheField name="Quantity" numFmtId="0">
      <sharedItems containsString="0" containsBlank="1" containsNumber="1" containsInteger="1" minValue="1" maxValue="19"/>
    </cacheField>
    <cacheField name="Discount" numFmtId="0">
      <sharedItems containsString="0" containsBlank="1" containsNumber="1" minValue="0" maxValue="0.2"/>
    </cacheField>
    <cacheField name="Order_Date" numFmtId="0">
      <sharedItems containsNonDate="0" containsDate="1" containsString="0" containsBlank="1" minDate="2024-04-10T00:00:00" maxDate="2025-04-08T00:00:00"/>
    </cacheField>
    <cacheField name="Price after discount" numFmtId="0">
      <sharedItems containsString="0" containsBlank="1" containsNumber="1" minValue="308.80116000000004" maxValue="27435.62"/>
    </cacheField>
    <cacheField name="Cost" numFmtId="0">
      <sharedItems containsString="0" containsBlank="1" containsNumber="1" minValue="197.41116000000005" maxValue="26785.829999999998"/>
    </cacheField>
    <cacheField name="Profit" numFmtId="0">
      <sharedItems containsString="0" containsBlank="1" containsNumber="1" minValue="64.63" maxValue="769.46"/>
    </cacheField>
    <cacheField name="month" numFmtId="0">
      <sharedItems containsBlank="1" count="14">
        <s v="Apr-2024"/>
        <s v="May-2024"/>
        <s v="Jun-2024"/>
        <s v="Jul-2024"/>
        <s v="Aug-2024"/>
        <s v="Sep-2024"/>
        <s v="Oct-2024"/>
        <s v="Nov-2024"/>
        <s v="Dec-2024"/>
        <s v="Jan-2025"/>
        <s v="Feb-2025"/>
        <s v="Mar-2025"/>
        <s v="Apr-2025"/>
        <m/>
      </sharedItems>
    </cacheField>
  </cacheFields>
  <extLst>
    <ext xmlns:x14="http://schemas.microsoft.com/office/spreadsheetml/2009/9/main" uri="{725AE2AE-9491-48be-B2B4-4EB974FC3084}">
      <x14:pivotCacheDefinition pivotCacheId="137397981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hmed" refreshedDate="46134.659685416664" createdVersion="8" refreshedVersion="8" minRefreshableVersion="3" recordCount="208" xr:uid="{520F985D-EE7E-4C9E-B0A5-8FC117E6A4B9}">
  <cacheSource type="worksheet">
    <worksheetSource ref="A1:M1048576" sheet="Dataset"/>
  </cacheSource>
  <cacheFields count="16">
    <cacheField name="Customer_ID" numFmtId="0">
      <sharedItems containsBlank="1"/>
    </cacheField>
    <cacheField name="Customer_Name" numFmtId="0">
      <sharedItems containsBlank="1" count="28">
        <s v="James Davis"/>
        <s v="Robert Anderson"/>
        <s v="James Taylor"/>
        <s v="James Wilson"/>
        <s v="Michael Anderson"/>
        <s v="Linda Wilson"/>
        <s v="Mary Davis"/>
        <s v="Linda Jackson"/>
        <s v="David Thomas"/>
        <s v="Emma Davis"/>
        <s v="David Smith"/>
        <s v="Sarah Anderson"/>
        <s v="Lisa Thomas"/>
        <s v="Mary Jackson"/>
        <s v="Lisa Davis"/>
        <s v="Linda Brown"/>
        <s v="John Brown"/>
        <s v="Linda Taylor"/>
        <s v="David Brown"/>
        <s v="David Davis"/>
        <s v="Mary Wilson"/>
        <s v="Emma Wilson"/>
        <s v="Linda Davis"/>
        <s v="Sarah Davis"/>
        <s v="Emma Taylor"/>
        <s v="Linda Moore"/>
        <s v="David Anderson"/>
        <m/>
      </sharedItems>
    </cacheField>
    <cacheField name="Region" numFmtId="0">
      <sharedItems containsBlank="1" count="6">
        <s v="West"/>
        <s v="East"/>
        <s v="South"/>
        <s v="North"/>
        <s v="Central"/>
        <m/>
      </sharedItems>
    </cacheField>
    <cacheField name="Product_Category" numFmtId="0">
      <sharedItems containsBlank="1" count="6">
        <s v="Books"/>
        <s v="Clothing"/>
        <s v="Electronics"/>
        <s v="Furniture"/>
        <s v="Office Supplies"/>
        <m/>
      </sharedItems>
    </cacheField>
    <cacheField name="Sales" numFmtId="0">
      <sharedItems containsString="0" containsBlank="1" containsNumber="1" minValue="258.51" maxValue="1923.66"/>
    </cacheField>
    <cacheField name="Quantity" numFmtId="0">
      <sharedItems containsString="0" containsBlank="1" containsNumber="1" containsInteger="1" minValue="1" maxValue="19"/>
    </cacheField>
    <cacheField name="Discount" numFmtId="0">
      <sharedItems containsString="0" containsBlank="1" containsNumber="1" minValue="0" maxValue="0.2"/>
    </cacheField>
    <cacheField name="Order_Date" numFmtId="0">
      <sharedItems containsNonDate="0" containsDate="1" containsString="0" containsBlank="1" minDate="2024-04-10T00:00:00" maxDate="2025-04-08T00:00:00" count="149">
        <d v="2024-04-10T00:00:00"/>
        <d v="2024-04-11T00:00:00"/>
        <d v="2024-04-14T00:00:00"/>
        <d v="2024-04-15T00:00:00"/>
        <d v="2024-04-16T00:00:00"/>
        <d v="2024-04-19T00:00:00"/>
        <d v="2024-04-20T00:00:00"/>
        <d v="2024-04-22T00:00:00"/>
        <d v="2024-04-24T00:00:00"/>
        <d v="2024-04-27T00:00:00"/>
        <d v="2024-04-28T00:00:00"/>
        <d v="2024-04-29T00:00:00"/>
        <d v="2024-04-30T00:00:00"/>
        <d v="2024-05-02T00:00:00"/>
        <d v="2024-05-03T00:00:00"/>
        <d v="2024-05-04T00:00:00"/>
        <d v="2024-05-06T00:00:00"/>
        <d v="2024-05-08T00:00:00"/>
        <d v="2024-05-10T00:00:00"/>
        <d v="2024-05-14T00:00:00"/>
        <d v="2024-05-15T00:00:00"/>
        <d v="2024-05-16T00:00:00"/>
        <d v="2024-05-17T00:00:00"/>
        <d v="2024-05-22T00:00:00"/>
        <d v="2024-05-23T00:00:00"/>
        <d v="2024-06-02T00:00:00"/>
        <d v="2024-06-04T00:00:00"/>
        <d v="2024-06-05T00:00:00"/>
        <d v="2024-06-06T00:00:00"/>
        <d v="2024-06-07T00:00:00"/>
        <d v="2024-06-08T00:00:00"/>
        <d v="2024-06-14T00:00:00"/>
        <d v="2024-06-18T00:00:00"/>
        <d v="2024-06-20T00:00:00"/>
        <d v="2024-06-21T00:00:00"/>
        <d v="2024-06-23T00:00:00"/>
        <d v="2024-06-25T00:00:00"/>
        <d v="2024-06-27T00:00:00"/>
        <d v="2024-06-28T00:00:00"/>
        <d v="2024-06-30T00:00:00"/>
        <d v="2024-07-05T00:00:00"/>
        <d v="2024-07-06T00:00:00"/>
        <d v="2024-07-08T00:00:00"/>
        <d v="2024-07-09T00:00:00"/>
        <d v="2024-07-14T00:00:00"/>
        <d v="2024-07-15T00:00:00"/>
        <d v="2024-07-21T00:00:00"/>
        <d v="2024-07-29T00:00:00"/>
        <d v="2024-07-30T00:00:00"/>
        <d v="2024-07-31T00:00:00"/>
        <d v="2024-08-05T00:00:00"/>
        <d v="2024-08-08T00:00:00"/>
        <d v="2024-08-09T00:00:00"/>
        <d v="2024-08-15T00:00:00"/>
        <d v="2024-08-18T00:00:00"/>
        <d v="2024-08-19T00:00:00"/>
        <d v="2024-08-22T00:00:00"/>
        <d v="2024-08-30T00:00:00"/>
        <d v="2024-09-01T00:00:00"/>
        <d v="2024-09-09T00:00:00"/>
        <d v="2024-09-11T00:00:00"/>
        <d v="2024-09-12T00:00:00"/>
        <d v="2024-09-14T00:00:00"/>
        <d v="2024-09-16T00:00:00"/>
        <d v="2024-09-17T00:00:00"/>
        <d v="2024-09-18T00:00:00"/>
        <d v="2024-09-22T00:00:00"/>
        <d v="2024-09-23T00:00:00"/>
        <d v="2024-09-24T00:00:00"/>
        <d v="2024-09-29T00:00:00"/>
        <d v="2024-09-30T00:00:00"/>
        <d v="2024-10-02T00:00:00"/>
        <d v="2024-10-05T00:00:00"/>
        <d v="2024-10-10T00:00:00"/>
        <d v="2024-10-12T00:00:00"/>
        <d v="2024-10-15T00:00:00"/>
        <d v="2024-10-16T00:00:00"/>
        <d v="2024-10-17T00:00:00"/>
        <d v="2024-10-19T00:00:00"/>
        <d v="2024-10-20T00:00:00"/>
        <d v="2024-10-28T00:00:00"/>
        <d v="2024-10-30T00:00:00"/>
        <d v="2024-11-01T00:00:00"/>
        <d v="2024-11-03T00:00:00"/>
        <d v="2024-11-09T00:00:00"/>
        <d v="2024-11-12T00:00:00"/>
        <d v="2024-11-15T00:00:00"/>
        <d v="2024-11-16T00:00:00"/>
        <d v="2024-11-17T00:00:00"/>
        <d v="2024-11-19T00:00:00"/>
        <d v="2024-11-20T00:00:00"/>
        <d v="2024-11-26T00:00:00"/>
        <d v="2024-11-28T00:00:00"/>
        <d v="2024-11-29T00:00:00"/>
        <d v="2024-11-30T00:00:00"/>
        <d v="2024-12-04T00:00:00"/>
        <d v="2024-12-05T00:00:00"/>
        <d v="2024-12-12T00:00:00"/>
        <d v="2024-12-14T00:00:00"/>
        <d v="2024-12-20T00:00:00"/>
        <d v="2024-12-21T00:00:00"/>
        <d v="2024-12-24T00:00:00"/>
        <d v="2024-12-25T00:00:00"/>
        <d v="2024-12-30T00:00:00"/>
        <d v="2025-01-01T00:00:00"/>
        <d v="2025-01-02T00:00:00"/>
        <d v="2025-01-03T00:00:00"/>
        <d v="2025-01-06T00:00:00"/>
        <d v="2025-01-10T00:00:00"/>
        <d v="2025-01-12T00:00:00"/>
        <d v="2025-01-13T00:00:00"/>
        <d v="2025-01-16T00:00:00"/>
        <d v="2025-01-17T00:00:00"/>
        <d v="2025-01-20T00:00:00"/>
        <d v="2025-01-21T00:00:00"/>
        <d v="2025-01-27T00:00:00"/>
        <d v="2025-02-02T00:00:00"/>
        <d v="2025-02-04T00:00:00"/>
        <d v="2025-02-05T00:00:00"/>
        <d v="2025-02-07T00:00:00"/>
        <d v="2025-02-10T00:00:00"/>
        <d v="2025-02-15T00:00:00"/>
        <d v="2025-02-17T00:00:00"/>
        <d v="2025-02-19T00:00:00"/>
        <d v="2025-02-20T00:00:00"/>
        <d v="2025-02-21T00:00:00"/>
        <d v="2025-02-24T00:00:00"/>
        <d v="2025-02-25T00:00:00"/>
        <d v="2025-02-27T00:00:00"/>
        <d v="2025-03-01T00:00:00"/>
        <d v="2025-03-02T00:00:00"/>
        <d v="2025-03-05T00:00:00"/>
        <d v="2025-03-08T00:00:00"/>
        <d v="2025-03-09T00:00:00"/>
        <d v="2025-03-10T00:00:00"/>
        <d v="2025-03-11T00:00:00"/>
        <d v="2025-03-17T00:00:00"/>
        <d v="2025-03-18T00:00:00"/>
        <d v="2025-03-20T00:00:00"/>
        <d v="2025-03-22T00:00:00"/>
        <d v="2025-03-25T00:00:00"/>
        <d v="2025-03-26T00:00:00"/>
        <d v="2025-03-27T00:00:00"/>
        <d v="2025-03-29T00:00:00"/>
        <d v="2025-03-30T00:00:00"/>
        <d v="2025-04-02T00:00:00"/>
        <d v="2025-04-05T00:00:00"/>
        <d v="2025-04-07T00:00:00"/>
        <m/>
      </sharedItems>
      <fieldGroup par="15"/>
    </cacheField>
    <cacheField name="Price after discount" numFmtId="0">
      <sharedItems containsString="0" containsBlank="1" containsNumber="1" minValue="308.80116000000004" maxValue="27435.62"/>
    </cacheField>
    <cacheField name="Cost" numFmtId="0">
      <sharedItems containsString="0" containsBlank="1" containsNumber="1" minValue="197.41116000000005" maxValue="26785.829999999998"/>
    </cacheField>
    <cacheField name="Profit" numFmtId="0">
      <sharedItems containsString="0" containsBlank="1" containsNumber="1" minValue="64.63" maxValue="769.46"/>
    </cacheField>
    <cacheField name="month" numFmtId="0">
      <sharedItems containsBlank="1"/>
    </cacheField>
    <cacheField name="TIMESTAMP" numFmtId="0">
      <sharedItems containsNonDate="0" containsDate="1" containsString="0" containsBlank="1" minDate="2026-04-22T15:47:18" maxDate="2026-04-22T15:47:18"/>
    </cacheField>
    <cacheField name="Months (Order_Date)" numFmtId="0" databaseField="0">
      <fieldGroup base="7">
        <rangePr groupBy="months" startDate="2024-04-10T00:00:00" endDate="2025-04-08T00:00:00"/>
        <groupItems count="14">
          <s v="&lt;10-04-2024"/>
          <s v="Jan"/>
          <s v="Feb"/>
          <s v="Mar"/>
          <s v="Apr"/>
          <s v="May"/>
          <s v="Jun"/>
          <s v="Jul"/>
          <s v="Aug"/>
          <s v="Sep"/>
          <s v="Oct"/>
          <s v="Nov"/>
          <s v="Dec"/>
          <s v="&gt;08-04-2025"/>
        </groupItems>
      </fieldGroup>
    </cacheField>
    <cacheField name="Quarters (Order_Date)" numFmtId="0" databaseField="0">
      <fieldGroup base="7">
        <rangePr groupBy="quarters" startDate="2024-04-10T00:00:00" endDate="2025-04-08T00:00:00"/>
        <groupItems count="6">
          <s v="&lt;10-04-2024"/>
          <s v="Qtr1"/>
          <s v="Qtr2"/>
          <s v="Qtr3"/>
          <s v="Qtr4"/>
          <s v="&gt;08-04-2025"/>
        </groupItems>
      </fieldGroup>
    </cacheField>
    <cacheField name="Years (Order_Date)" numFmtId="0" databaseField="0">
      <fieldGroup base="7">
        <rangePr groupBy="years" startDate="2024-04-10T00:00:00" endDate="2025-04-08T00:00:00"/>
        <groupItems count="4">
          <s v="&lt;10-04-2024"/>
          <s v="2024"/>
          <s v="2025"/>
          <s v="&gt;08-04-2025"/>
        </groupItems>
      </fieldGroup>
    </cacheField>
  </cacheFields>
  <extLst>
    <ext xmlns:x14="http://schemas.microsoft.com/office/spreadsheetml/2009/9/main" uri="{725AE2AE-9491-48be-B2B4-4EB974FC3084}">
      <x14:pivotCacheDefinition pivotCacheId="162166443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8">
  <r>
    <s v="CUST019"/>
    <s v="James Davis"/>
    <x v="0"/>
    <x v="0"/>
    <n v="1036.0899999999999"/>
    <n v="4"/>
    <n v="0.2"/>
    <d v="2024-04-10T00:00:00"/>
    <n v="4136.0712800000001"/>
    <n v="3804.5212799999999"/>
    <n v="331.55"/>
    <x v="0"/>
  </r>
  <r>
    <s v="CUST012"/>
    <s v="Robert Anderson"/>
    <x v="0"/>
    <x v="1"/>
    <n v="1101.28"/>
    <n v="3"/>
    <n v="0.2"/>
    <d v="2024-04-11T00:00:00"/>
    <n v="3297.2323200000001"/>
    <n v="2856.7223199999999"/>
    <n v="440.51"/>
    <x v="0"/>
  </r>
  <r>
    <s v="CUST017"/>
    <s v="James Taylor"/>
    <x v="1"/>
    <x v="0"/>
    <n v="713.34"/>
    <n v="17"/>
    <n v="0"/>
    <d v="2024-04-14T00:00:00"/>
    <n v="12126.78"/>
    <n v="11841.44"/>
    <n v="285.33999999999997"/>
    <x v="0"/>
  </r>
  <r>
    <s v="CUST005"/>
    <s v="Robert Anderson"/>
    <x v="2"/>
    <x v="2"/>
    <n v="760.93"/>
    <n v="4"/>
    <n v="0.15"/>
    <d v="2024-04-14T00:00:00"/>
    <n v="3039.1544199999998"/>
    <n v="2877.45442"/>
    <n v="161.69999999999999"/>
    <x v="0"/>
  </r>
  <r>
    <s v="CUST030"/>
    <s v="James Wilson"/>
    <x v="3"/>
    <x v="0"/>
    <n v="847"/>
    <n v="12"/>
    <n v="0.2"/>
    <d v="2024-04-15T00:00:00"/>
    <n v="10143.672"/>
    <n v="9872.6319999999996"/>
    <n v="271.04000000000002"/>
    <x v="0"/>
  </r>
  <r>
    <s v="CUST007"/>
    <s v="Michael Anderson"/>
    <x v="3"/>
    <x v="3"/>
    <n v="965.64"/>
    <n v="8"/>
    <n v="0.1"/>
    <d v="2024-04-16T00:00:00"/>
    <n v="7717.3948799999998"/>
    <n v="7413.2148799999995"/>
    <n v="304.18"/>
    <x v="0"/>
  </r>
  <r>
    <s v="CUST001"/>
    <s v="Linda Wilson"/>
    <x v="0"/>
    <x v="2"/>
    <n v="1317.53"/>
    <n v="12"/>
    <n v="0.05"/>
    <d v="2024-04-16T00:00:00"/>
    <n v="15802.454820000001"/>
    <n v="15489.544820000001"/>
    <n v="312.91000000000003"/>
    <x v="0"/>
  </r>
  <r>
    <s v="CUST026"/>
    <s v="Mary Davis"/>
    <x v="1"/>
    <x v="3"/>
    <n v="1074.47"/>
    <n v="6"/>
    <n v="0.2"/>
    <d v="2024-04-19T00:00:00"/>
    <n v="6433.9263599999995"/>
    <n v="6133.0763599999991"/>
    <n v="300.85000000000002"/>
    <x v="0"/>
  </r>
  <r>
    <s v="CUST009"/>
    <s v="Linda Jackson"/>
    <x v="4"/>
    <x v="0"/>
    <n v="501.54"/>
    <n v="11"/>
    <n v="0.05"/>
    <d v="2024-04-19T00:00:00"/>
    <n v="5514.1815300000007"/>
    <n v="5323.5915300000006"/>
    <n v="190.59"/>
    <x v="0"/>
  </r>
  <r>
    <s v="CUST010"/>
    <s v="David Thomas"/>
    <x v="4"/>
    <x v="1"/>
    <n v="737.31"/>
    <n v="2"/>
    <n v="0.05"/>
    <d v="2024-04-19T00:00:00"/>
    <n v="1473.8826899999999"/>
    <n v="1123.6626899999999"/>
    <n v="350.22"/>
    <x v="0"/>
  </r>
  <r>
    <s v="CUST014"/>
    <s v="Emma Davis"/>
    <x v="0"/>
    <x v="4"/>
    <n v="1572.82"/>
    <n v="6"/>
    <n v="0.05"/>
    <d v="2024-04-20T00:00:00"/>
    <n v="9432.20154"/>
    <n v="8759.8215400000008"/>
    <n v="672.38"/>
    <x v="0"/>
  </r>
  <r>
    <s v="CUST014"/>
    <s v="David Thomas"/>
    <x v="4"/>
    <x v="0"/>
    <n v="1343.13"/>
    <n v="14"/>
    <n v="0.15"/>
    <d v="2024-04-22T00:00:00"/>
    <n v="18775.614269999998"/>
    <n v="18318.954269999998"/>
    <n v="456.66"/>
    <x v="0"/>
  </r>
  <r>
    <s v="CUST007"/>
    <s v="Michael Anderson"/>
    <x v="4"/>
    <x v="0"/>
    <n v="1191.58"/>
    <n v="14"/>
    <n v="0.05"/>
    <d v="2024-04-24T00:00:00"/>
    <n v="16673.77894"/>
    <n v="16220.978940000001"/>
    <n v="452.8"/>
    <x v="0"/>
  </r>
  <r>
    <s v="CUST023"/>
    <s v="Robert Anderson"/>
    <x v="0"/>
    <x v="3"/>
    <n v="822.28"/>
    <n v="7"/>
    <n v="0.05"/>
    <d v="2024-04-24T00:00:00"/>
    <n v="5753.0820199999998"/>
    <n v="5479.67202"/>
    <n v="273.41000000000003"/>
    <x v="0"/>
  </r>
  <r>
    <s v="CUST029"/>
    <s v="David Smith"/>
    <x v="3"/>
    <x v="3"/>
    <n v="521.66999999999996"/>
    <n v="15"/>
    <n v="0.15"/>
    <d v="2024-04-27T00:00:00"/>
    <n v="7813.3124249999992"/>
    <n v="7658.1124249999993"/>
    <n v="155.19999999999999"/>
    <x v="0"/>
  </r>
  <r>
    <s v="CUST005"/>
    <s v="Sarah Anderson"/>
    <x v="2"/>
    <x v="2"/>
    <n v="1502.93"/>
    <n v="14"/>
    <n v="0.2"/>
    <d v="2024-04-28T00:00:00"/>
    <n v="20998.937959999999"/>
    <n v="20698.347959999999"/>
    <n v="300.58999999999997"/>
    <x v="0"/>
  </r>
  <r>
    <s v="CUST008"/>
    <s v="Robert Anderson"/>
    <x v="2"/>
    <x v="0"/>
    <n v="877.58"/>
    <n v="10"/>
    <n v="0.15"/>
    <d v="2024-04-29T00:00:00"/>
    <n v="8762.6363000000019"/>
    <n v="8464.2563000000027"/>
    <n v="298.38"/>
    <x v="0"/>
  </r>
  <r>
    <s v="CUST001"/>
    <s v="Lisa Thomas"/>
    <x v="0"/>
    <x v="0"/>
    <n v="636.70000000000005"/>
    <n v="4"/>
    <n v="0.2"/>
    <d v="2024-04-29T00:00:00"/>
    <n v="2541.7064"/>
    <n v="2337.9664000000002"/>
    <n v="203.74"/>
    <x v="0"/>
  </r>
  <r>
    <s v="CUST006"/>
    <s v="Mary Jackson"/>
    <x v="0"/>
    <x v="0"/>
    <n v="1506.14"/>
    <n v="13"/>
    <n v="0.2"/>
    <d v="2024-04-30T00:00:00"/>
    <n v="19540.660359999998"/>
    <n v="19058.700359999999"/>
    <n v="481.96"/>
    <x v="0"/>
  </r>
  <r>
    <s v="CUST026"/>
    <s v="Mary Davis"/>
    <x v="4"/>
    <x v="2"/>
    <n v="645.02"/>
    <n v="4"/>
    <n v="0"/>
    <d v="2024-05-02T00:00:00"/>
    <n v="2580.08"/>
    <n v="2418.8199999999997"/>
    <n v="161.26"/>
    <x v="1"/>
  </r>
  <r>
    <s v="CUST007"/>
    <s v="Lisa Davis"/>
    <x v="2"/>
    <x v="1"/>
    <n v="953.3"/>
    <n v="11"/>
    <n v="0"/>
    <d v="2024-05-03T00:00:00"/>
    <n v="10486.3"/>
    <n v="10009.65"/>
    <n v="476.65"/>
    <x v="1"/>
  </r>
  <r>
    <s v="CUST022"/>
    <s v="Robert Anderson"/>
    <x v="3"/>
    <x v="2"/>
    <n v="388.56"/>
    <n v="14"/>
    <n v="0.15"/>
    <d v="2024-05-04T00:00:00"/>
    <n v="5431.6802400000006"/>
    <n v="5349.1102400000009"/>
    <n v="82.57"/>
    <x v="1"/>
  </r>
  <r>
    <s v="CUST019"/>
    <s v="Mary Davis"/>
    <x v="0"/>
    <x v="0"/>
    <n v="743.17"/>
    <n v="9"/>
    <n v="0"/>
    <d v="2024-05-04T00:00:00"/>
    <n v="6688.53"/>
    <n v="6391.26"/>
    <n v="297.27"/>
    <x v="1"/>
  </r>
  <r>
    <s v="CUST023"/>
    <s v="Mary Davis"/>
    <x v="4"/>
    <x v="2"/>
    <n v="706.37"/>
    <n v="6"/>
    <n v="0"/>
    <d v="2024-05-04T00:00:00"/>
    <n v="4238.22"/>
    <n v="4061.63"/>
    <n v="176.59"/>
    <x v="1"/>
  </r>
  <r>
    <s v="CUST012"/>
    <s v="Mary Davis"/>
    <x v="4"/>
    <x v="4"/>
    <n v="925.31"/>
    <n v="8"/>
    <n v="0.1"/>
    <d v="2024-05-06T00:00:00"/>
    <n v="7395.0775199999998"/>
    <n v="7020.3275199999998"/>
    <n v="374.75"/>
    <x v="1"/>
  </r>
  <r>
    <s v="CUST010"/>
    <s v="Linda Brown"/>
    <x v="2"/>
    <x v="2"/>
    <n v="1173.1199999999999"/>
    <n v="18"/>
    <n v="0"/>
    <d v="2024-05-06T00:00:00"/>
    <n v="21116.159999999996"/>
    <n v="20822.879999999997"/>
    <n v="293.27999999999997"/>
    <x v="1"/>
  </r>
  <r>
    <s v="CUST030"/>
    <s v="John Brown"/>
    <x v="3"/>
    <x v="3"/>
    <n v="675.54"/>
    <n v="17"/>
    <n v="0"/>
    <d v="2024-05-08T00:00:00"/>
    <n v="11484.18"/>
    <n v="11247.74"/>
    <n v="236.44"/>
    <x v="1"/>
  </r>
  <r>
    <s v="CUST007"/>
    <s v="Robert Anderson"/>
    <x v="4"/>
    <x v="0"/>
    <n v="939.09"/>
    <n v="2"/>
    <n v="0.05"/>
    <d v="2024-05-10T00:00:00"/>
    <n v="1877.24091"/>
    <n v="1520.3909100000001"/>
    <n v="356.85"/>
    <x v="1"/>
  </r>
  <r>
    <s v="CUST028"/>
    <s v="Linda Taylor"/>
    <x v="1"/>
    <x v="4"/>
    <n v="983.34"/>
    <n v="19"/>
    <n v="0.1"/>
    <d v="2024-05-14T00:00:00"/>
    <n v="18664.776539999999"/>
    <n v="18266.526539999999"/>
    <n v="398.25"/>
    <x v="1"/>
  </r>
  <r>
    <s v="CUST028"/>
    <s v="James Wilson"/>
    <x v="2"/>
    <x v="2"/>
    <n v="801.21"/>
    <n v="3"/>
    <n v="0.2"/>
    <d v="2024-05-14T00:00:00"/>
    <n v="2398.8227400000001"/>
    <n v="2238.5827399999998"/>
    <n v="160.24"/>
    <x v="1"/>
  </r>
  <r>
    <s v="CUST025"/>
    <s v="David Brown"/>
    <x v="3"/>
    <x v="2"/>
    <n v="1450.71"/>
    <n v="5"/>
    <n v="0.1"/>
    <d v="2024-05-15T00:00:00"/>
    <n v="7246.2964499999998"/>
    <n v="6919.88645"/>
    <n v="326.41000000000003"/>
    <x v="1"/>
  </r>
  <r>
    <s v="CUST022"/>
    <s v="David Davis"/>
    <x v="4"/>
    <x v="0"/>
    <n v="1023.21"/>
    <n v="18"/>
    <n v="0.05"/>
    <d v="2024-05-16T00:00:00"/>
    <n v="18408.571109999997"/>
    <n v="18019.751109999997"/>
    <n v="388.82"/>
    <x v="1"/>
  </r>
  <r>
    <s v="CUST001"/>
    <s v="Mary Jackson"/>
    <x v="0"/>
    <x v="3"/>
    <n v="853.72"/>
    <n v="5"/>
    <n v="0.15"/>
    <d v="2024-05-16T00:00:00"/>
    <n v="4262.1971000000003"/>
    <n v="4008.2171000000003"/>
    <n v="253.98"/>
    <x v="1"/>
  </r>
  <r>
    <s v="CUST021"/>
    <s v="Sarah Anderson"/>
    <x v="2"/>
    <x v="2"/>
    <n v="967.89"/>
    <n v="10"/>
    <n v="0.1"/>
    <d v="2024-05-17T00:00:00"/>
    <n v="9669.2210999999988"/>
    <n v="9451.4410999999982"/>
    <n v="217.78"/>
    <x v="1"/>
  </r>
  <r>
    <s v="CUST015"/>
    <s v="Linda Taylor"/>
    <x v="3"/>
    <x v="4"/>
    <n v="1200.9000000000001"/>
    <n v="14"/>
    <n v="0.05"/>
    <d v="2024-05-17T00:00:00"/>
    <n v="16804.193700000003"/>
    <n v="16290.813700000004"/>
    <n v="513.38"/>
    <x v="1"/>
  </r>
  <r>
    <s v="CUST012"/>
    <s v="Michael Anderson"/>
    <x v="0"/>
    <x v="0"/>
    <n v="472.38"/>
    <n v="12"/>
    <n v="0.2"/>
    <d v="2024-05-17T00:00:00"/>
    <n v="5657.2228799999993"/>
    <n v="5506.0628799999995"/>
    <n v="151.16"/>
    <x v="1"/>
  </r>
  <r>
    <s v="CUST019"/>
    <s v="David Brown"/>
    <x v="1"/>
    <x v="4"/>
    <n v="840.92"/>
    <n v="9"/>
    <n v="0.05"/>
    <d v="2024-05-17T00:00:00"/>
    <n v="7564.49586"/>
    <n v="7205.0058600000002"/>
    <n v="359.49"/>
    <x v="1"/>
  </r>
  <r>
    <s v="CUST028"/>
    <s v="Lisa Davis"/>
    <x v="4"/>
    <x v="3"/>
    <n v="1410.06"/>
    <n v="11"/>
    <n v="0.05"/>
    <d v="2024-05-22T00:00:00"/>
    <n v="15502.90467"/>
    <n v="15034.06467"/>
    <n v="468.84"/>
    <x v="1"/>
  </r>
  <r>
    <s v="CUST008"/>
    <s v="Mary Wilson"/>
    <x v="4"/>
    <x v="3"/>
    <n v="773.09"/>
    <n v="13"/>
    <n v="0.15"/>
    <d v="2024-05-22T00:00:00"/>
    <n v="10035.094745"/>
    <n v="9805.1047450000005"/>
    <n v="229.99"/>
    <x v="1"/>
  </r>
  <r>
    <s v="CUST016"/>
    <s v="Emma Wilson"/>
    <x v="1"/>
    <x v="0"/>
    <n v="580.42999999999995"/>
    <n v="19"/>
    <n v="0.15"/>
    <d v="2024-05-23T00:00:00"/>
    <n v="11011.627744999998"/>
    <n v="10814.277744999998"/>
    <n v="197.35"/>
    <x v="1"/>
  </r>
  <r>
    <s v="CUST005"/>
    <s v="David Smith"/>
    <x v="2"/>
    <x v="0"/>
    <n v="1151.21"/>
    <n v="15"/>
    <n v="0.1"/>
    <d v="2024-06-02T00:00:00"/>
    <n v="17250.881850000002"/>
    <n v="16836.441850000003"/>
    <n v="414.44"/>
    <x v="2"/>
  </r>
  <r>
    <s v="CUST028"/>
    <s v="James Wilson"/>
    <x v="4"/>
    <x v="4"/>
    <n v="1025.98"/>
    <n v="5"/>
    <n v="0.2"/>
    <d v="2024-06-04T00:00:00"/>
    <n v="5119.6401999999998"/>
    <n v="4750.2901999999995"/>
    <n v="369.35"/>
    <x v="2"/>
  </r>
  <r>
    <s v="CUST023"/>
    <s v="David Davis"/>
    <x v="1"/>
    <x v="4"/>
    <n v="556.41999999999996"/>
    <n v="11"/>
    <n v="0.15"/>
    <d v="2024-06-04T00:00:00"/>
    <n v="6111.4390699999994"/>
    <n v="5898.6090699999995"/>
    <n v="212.83"/>
    <x v="2"/>
  </r>
  <r>
    <s v="CUST021"/>
    <s v="James Wilson"/>
    <x v="4"/>
    <x v="0"/>
    <n v="840.85"/>
    <n v="19"/>
    <n v="0.1"/>
    <d v="2024-06-05T00:00:00"/>
    <n v="15960.173849999999"/>
    <n v="15657.46385"/>
    <n v="302.70999999999998"/>
    <x v="2"/>
  </r>
  <r>
    <s v="CUST026"/>
    <s v="Emma Wilson"/>
    <x v="3"/>
    <x v="3"/>
    <n v="1227.25"/>
    <n v="12"/>
    <n v="0.15"/>
    <d v="2024-06-05T00:00:00"/>
    <n v="14704.9095"/>
    <n v="14339.799499999999"/>
    <n v="365.11"/>
    <x v="2"/>
  </r>
  <r>
    <s v="CUST017"/>
    <s v="Linda Davis"/>
    <x v="4"/>
    <x v="2"/>
    <n v="856.7"/>
    <n v="2"/>
    <n v="0"/>
    <d v="2024-06-06T00:00:00"/>
    <n v="1713.4"/>
    <n v="1499.22"/>
    <n v="214.18"/>
    <x v="2"/>
  </r>
  <r>
    <s v="CUST025"/>
    <s v="David Davis"/>
    <x v="4"/>
    <x v="4"/>
    <n v="1225.42"/>
    <n v="8"/>
    <n v="0.15"/>
    <d v="2024-06-06T00:00:00"/>
    <n v="9788.6549599999998"/>
    <n v="9319.9349600000005"/>
    <n v="468.72"/>
    <x v="2"/>
  </r>
  <r>
    <s v="CUST011"/>
    <s v="Mary Davis"/>
    <x v="3"/>
    <x v="4"/>
    <n v="1001.57"/>
    <n v="12"/>
    <n v="0"/>
    <d v="2024-06-07T00:00:00"/>
    <n v="12018.84"/>
    <n v="11568.130000000001"/>
    <n v="450.71"/>
    <x v="2"/>
  </r>
  <r>
    <s v="CUST021"/>
    <s v="Michael Anderson"/>
    <x v="1"/>
    <x v="3"/>
    <n v="1186.8499999999999"/>
    <n v="19"/>
    <n v="0.2"/>
    <d v="2024-06-08T00:00:00"/>
    <n v="22505.0497"/>
    <n v="22172.7297"/>
    <n v="332.32"/>
    <x v="2"/>
  </r>
  <r>
    <s v="CUST008"/>
    <s v="John Brown"/>
    <x v="2"/>
    <x v="2"/>
    <n v="775.45"/>
    <n v="6"/>
    <n v="0.1"/>
    <d v="2024-06-14T00:00:00"/>
    <n v="4648.0473000000011"/>
    <n v="4473.5673000000015"/>
    <n v="174.48"/>
    <x v="2"/>
  </r>
  <r>
    <s v="CUST007"/>
    <s v="Linda Jackson"/>
    <x v="2"/>
    <x v="2"/>
    <n v="1021.47"/>
    <n v="6"/>
    <n v="0.05"/>
    <d v="2024-06-18T00:00:00"/>
    <n v="6125.7555899999998"/>
    <n v="5883.1555899999994"/>
    <n v="242.6"/>
    <x v="2"/>
  </r>
  <r>
    <s v="CUST015"/>
    <s v="James Wilson"/>
    <x v="2"/>
    <x v="1"/>
    <n v="1226.6199999999999"/>
    <n v="7"/>
    <n v="0.1"/>
    <d v="2024-06-20T00:00:00"/>
    <n v="8577.7536600000003"/>
    <n v="8025.7736600000007"/>
    <n v="551.98"/>
    <x v="2"/>
  </r>
  <r>
    <s v="CUST030"/>
    <s v="Sarah Davis"/>
    <x v="2"/>
    <x v="3"/>
    <n v="1086.93"/>
    <n v="2"/>
    <n v="0"/>
    <d v="2024-06-21T00:00:00"/>
    <n v="2173.86"/>
    <n v="1793.43"/>
    <n v="380.43"/>
    <x v="2"/>
  </r>
  <r>
    <s v="CUST002"/>
    <s v="Lisa Davis"/>
    <x v="0"/>
    <x v="0"/>
    <n v="942.9"/>
    <n v="18"/>
    <n v="0.1"/>
    <d v="2024-06-23T00:00:00"/>
    <n v="16955.227800000001"/>
    <n v="16615.787800000002"/>
    <n v="339.44"/>
    <x v="2"/>
  </r>
  <r>
    <s v="CUST009"/>
    <s v="Emma Davis"/>
    <x v="3"/>
    <x v="2"/>
    <n v="818.8"/>
    <n v="15"/>
    <n v="0.15"/>
    <d v="2024-06-25T00:00:00"/>
    <n v="12263.576999999999"/>
    <n v="12089.587"/>
    <n v="173.99"/>
    <x v="2"/>
  </r>
  <r>
    <s v="CUST005"/>
    <s v="Robert Anderson"/>
    <x v="2"/>
    <x v="3"/>
    <n v="919.04"/>
    <n v="10"/>
    <n v="0.2"/>
    <d v="2024-06-25T00:00:00"/>
    <n v="9172.0191999999988"/>
    <n v="8914.6891999999989"/>
    <n v="257.33"/>
    <x v="2"/>
  </r>
  <r>
    <s v="CUST030"/>
    <s v="Emma Taylor"/>
    <x v="4"/>
    <x v="0"/>
    <n v="973.26"/>
    <n v="11"/>
    <n v="0"/>
    <d v="2024-06-27T00:00:00"/>
    <n v="10705.86"/>
    <n v="10316.560000000001"/>
    <n v="389.3"/>
    <x v="2"/>
  </r>
  <r>
    <s v="CUST029"/>
    <s v="Sarah Davis"/>
    <x v="3"/>
    <x v="2"/>
    <n v="741.61"/>
    <n v="1"/>
    <n v="0.2"/>
    <d v="2024-06-28T00:00:00"/>
    <n v="740.12678000000005"/>
    <n v="591.80678000000012"/>
    <n v="148.32"/>
    <x v="2"/>
  </r>
  <r>
    <s v="CUST003"/>
    <s v="Emma Davis"/>
    <x v="3"/>
    <x v="0"/>
    <n v="1248.82"/>
    <n v="2"/>
    <n v="0.1"/>
    <d v="2024-06-30T00:00:00"/>
    <n v="2495.1423599999998"/>
    <n v="2045.5623599999999"/>
    <n v="449.58"/>
    <x v="2"/>
  </r>
  <r>
    <s v="CUST012"/>
    <s v="Mary Wilson"/>
    <x v="0"/>
    <x v="1"/>
    <n v="1360.36"/>
    <n v="17"/>
    <n v="0"/>
    <d v="2024-06-30T00:00:00"/>
    <n v="23126.12"/>
    <n v="22445.94"/>
    <n v="680.18"/>
    <x v="2"/>
  </r>
  <r>
    <s v="CUST021"/>
    <s v="Mary Davis"/>
    <x v="1"/>
    <x v="0"/>
    <n v="1383.3"/>
    <n v="8"/>
    <n v="0.1"/>
    <d v="2024-07-05T00:00:00"/>
    <n v="11055.3336"/>
    <n v="10557.3436"/>
    <n v="497.99"/>
    <x v="3"/>
  </r>
  <r>
    <s v="CUST010"/>
    <s v="David Brown"/>
    <x v="4"/>
    <x v="4"/>
    <n v="488.99"/>
    <n v="9"/>
    <n v="0"/>
    <d v="2024-07-06T00:00:00"/>
    <n v="4400.91"/>
    <n v="4180.8599999999997"/>
    <n v="220.05"/>
    <x v="3"/>
  </r>
  <r>
    <s v="CUST026"/>
    <s v="Mary Davis"/>
    <x v="1"/>
    <x v="3"/>
    <n v="933.71"/>
    <n v="17"/>
    <n v="0.1"/>
    <d v="2024-07-08T00:00:00"/>
    <n v="15857.19693"/>
    <n v="15563.076929999999"/>
    <n v="294.12"/>
    <x v="3"/>
  </r>
  <r>
    <s v="CUST003"/>
    <s v="James Davis"/>
    <x v="0"/>
    <x v="2"/>
    <n v="1005.53"/>
    <n v="17"/>
    <n v="0.2"/>
    <d v="2024-07-08T00:00:00"/>
    <n v="17059.821979999997"/>
    <n v="16858.711979999996"/>
    <n v="201.11"/>
    <x v="3"/>
  </r>
  <r>
    <s v="CUST029"/>
    <s v="Emma Wilson"/>
    <x v="2"/>
    <x v="2"/>
    <n v="1100.0999999999999"/>
    <n v="5"/>
    <n v="0.05"/>
    <d v="2024-07-09T00:00:00"/>
    <n v="5497.7497499999999"/>
    <n v="5236.4797500000004"/>
    <n v="261.27"/>
    <x v="3"/>
  </r>
  <r>
    <s v="CUST003"/>
    <s v="James Wilson"/>
    <x v="3"/>
    <x v="3"/>
    <n v="1034.7"/>
    <n v="15"/>
    <n v="0.15"/>
    <d v="2024-07-14T00:00:00"/>
    <n v="15497.21925"/>
    <n v="15189.39925"/>
    <n v="307.82"/>
    <x v="3"/>
  </r>
  <r>
    <s v="CUST002"/>
    <s v="Mary Davis"/>
    <x v="2"/>
    <x v="0"/>
    <n v="876.44"/>
    <n v="12"/>
    <n v="0.05"/>
    <d v="2024-07-15T00:00:00"/>
    <n v="10512.021360000001"/>
    <n v="10178.971360000001"/>
    <n v="333.05"/>
    <x v="3"/>
  </r>
  <r>
    <s v="CUST020"/>
    <s v="David Brown"/>
    <x v="0"/>
    <x v="3"/>
    <n v="1371.34"/>
    <n v="5"/>
    <n v="0.05"/>
    <d v="2024-07-15T00:00:00"/>
    <n v="6853.2716499999997"/>
    <n v="6397.3016499999994"/>
    <n v="455.97"/>
    <x v="3"/>
  </r>
  <r>
    <s v="CUST021"/>
    <s v="Mary Jackson"/>
    <x v="3"/>
    <x v="2"/>
    <n v="1020.26"/>
    <n v="11"/>
    <n v="0.05"/>
    <d v="2024-07-21T00:00:00"/>
    <n v="11217.24857"/>
    <n v="10974.93857"/>
    <n v="242.31"/>
    <x v="3"/>
  </r>
  <r>
    <s v="CUST008"/>
    <s v="James Davis"/>
    <x v="4"/>
    <x v="4"/>
    <n v="804.81"/>
    <n v="1"/>
    <n v="0.05"/>
    <d v="2024-07-29T00:00:00"/>
    <n v="804.4075949999999"/>
    <n v="460.3475949999999"/>
    <n v="344.06"/>
    <x v="3"/>
  </r>
  <r>
    <s v="CUST030"/>
    <s v="David Brown"/>
    <x v="4"/>
    <x v="2"/>
    <n v="608.66"/>
    <n v="1"/>
    <n v="0.05"/>
    <d v="2024-07-30T00:00:00"/>
    <n v="608.35566999999992"/>
    <n v="463.79566999999992"/>
    <n v="144.56"/>
    <x v="3"/>
  </r>
  <r>
    <s v="CUST020"/>
    <s v="Linda Moore"/>
    <x v="2"/>
    <x v="4"/>
    <n v="981.2"/>
    <n v="19"/>
    <n v="0"/>
    <d v="2024-07-31T00:00:00"/>
    <n v="18642.8"/>
    <n v="18201.259999999998"/>
    <n v="441.54"/>
    <x v="3"/>
  </r>
  <r>
    <s v="CUST024"/>
    <s v="David Brown"/>
    <x v="1"/>
    <x v="2"/>
    <n v="539.77"/>
    <n v="10"/>
    <n v="0.15"/>
    <d v="2024-08-05T00:00:00"/>
    <n v="5389.6034499999996"/>
    <n v="5274.9034499999998"/>
    <n v="114.7"/>
    <x v="4"/>
  </r>
  <r>
    <s v="CUST012"/>
    <s v="David Anderson"/>
    <x v="2"/>
    <x v="0"/>
    <n v="804.45"/>
    <n v="5"/>
    <n v="0.2"/>
    <d v="2024-08-05T00:00:00"/>
    <n v="4014.2055"/>
    <n v="3756.7855"/>
    <n v="257.42"/>
    <x v="4"/>
  </r>
  <r>
    <s v="CUST024"/>
    <s v="Emma Davis"/>
    <x v="0"/>
    <x v="2"/>
    <n v="1526.6"/>
    <n v="13"/>
    <n v="0.2"/>
    <d v="2024-08-08T00:00:00"/>
    <n v="19806.108400000001"/>
    <n v="19500.788400000001"/>
    <n v="305.32"/>
    <x v="4"/>
  </r>
  <r>
    <s v="CUST012"/>
    <s v="Linda Wilson"/>
    <x v="0"/>
    <x v="2"/>
    <n v="1215.26"/>
    <n v="5"/>
    <n v="0.15"/>
    <d v="2024-08-09T00:00:00"/>
    <n v="6067.1855500000001"/>
    <n v="5808.9455500000004"/>
    <n v="258.24"/>
    <x v="4"/>
  </r>
  <r>
    <s v="CUST005"/>
    <s v="Linda Taylor"/>
    <x v="4"/>
    <x v="3"/>
    <n v="1261.3399999999999"/>
    <n v="3"/>
    <n v="0"/>
    <d v="2024-08-15T00:00:00"/>
    <n v="3784.0199999999995"/>
    <n v="3342.5499999999993"/>
    <n v="441.47"/>
    <x v="4"/>
  </r>
  <r>
    <s v="CUST004"/>
    <s v="Lisa Thomas"/>
    <x v="3"/>
    <x v="3"/>
    <n v="518.07000000000005"/>
    <n v="7"/>
    <n v="0.05"/>
    <d v="2024-08-18T00:00:00"/>
    <n v="3624.6767550000004"/>
    <n v="3452.4167550000002"/>
    <n v="172.26"/>
    <x v="4"/>
  </r>
  <r>
    <s v="CUST026"/>
    <s v="Linda Wilson"/>
    <x v="0"/>
    <x v="4"/>
    <n v="1111.3399999999999"/>
    <n v="1"/>
    <n v="0"/>
    <d v="2024-08-19T00:00:00"/>
    <n v="1111.3399999999999"/>
    <n v="611.2399999999999"/>
    <n v="500.1"/>
    <x v="4"/>
  </r>
  <r>
    <s v="CUST030"/>
    <s v="Mary Davis"/>
    <x v="1"/>
    <x v="1"/>
    <n v="1291.47"/>
    <n v="18"/>
    <n v="0.1"/>
    <d v="2024-08-22T00:00:00"/>
    <n v="23223.213540000001"/>
    <n v="22642.053540000001"/>
    <n v="581.16"/>
    <x v="4"/>
  </r>
  <r>
    <s v="CUST007"/>
    <s v="David Brown"/>
    <x v="3"/>
    <x v="0"/>
    <n v="679.71"/>
    <n v="19"/>
    <n v="0"/>
    <d v="2024-08-30T00:00:00"/>
    <n v="12914.490000000002"/>
    <n v="12642.610000000002"/>
    <n v="271.88"/>
    <x v="4"/>
  </r>
  <r>
    <s v="CUST020"/>
    <s v="Linda Jackson"/>
    <x v="1"/>
    <x v="3"/>
    <n v="1143.69"/>
    <n v="17"/>
    <n v="0"/>
    <d v="2024-08-30T00:00:00"/>
    <n v="19442.73"/>
    <n v="19042.439999999999"/>
    <n v="400.29"/>
    <x v="4"/>
  </r>
  <r>
    <s v="CUST028"/>
    <s v="Linda Brown"/>
    <x v="4"/>
    <x v="2"/>
    <n v="790.08"/>
    <n v="7"/>
    <n v="0.1"/>
    <d v="2024-09-01T00:00:00"/>
    <n v="5525.0294400000002"/>
    <n v="5347.2594399999998"/>
    <n v="177.77"/>
    <x v="5"/>
  </r>
  <r>
    <s v="CUST005"/>
    <s v="Lisa Davis"/>
    <x v="4"/>
    <x v="0"/>
    <n v="1070.68"/>
    <n v="7"/>
    <n v="0.05"/>
    <d v="2024-09-01T00:00:00"/>
    <n v="7491.0126200000004"/>
    <n v="7084.1526200000008"/>
    <n v="406.86"/>
    <x v="5"/>
  </r>
  <r>
    <s v="CUST015"/>
    <s v="David Thomas"/>
    <x v="0"/>
    <x v="1"/>
    <n v="1168.8900000000001"/>
    <n v="4"/>
    <n v="0.1"/>
    <d v="2024-09-09T00:00:00"/>
    <n v="4670.8844400000007"/>
    <n v="4144.8844400000007"/>
    <n v="526"/>
    <x v="5"/>
  </r>
  <r>
    <s v="CUST003"/>
    <s v="James Davis"/>
    <x v="2"/>
    <x v="2"/>
    <n v="1335.87"/>
    <n v="17"/>
    <n v="0"/>
    <d v="2024-09-09T00:00:00"/>
    <n v="22709.789999999997"/>
    <n v="22375.819999999996"/>
    <n v="333.97"/>
    <x v="5"/>
  </r>
  <r>
    <s v="CUST023"/>
    <s v="David Brown"/>
    <x v="1"/>
    <x v="3"/>
    <n v="873.7"/>
    <n v="9"/>
    <n v="0"/>
    <d v="2024-09-11T00:00:00"/>
    <n v="7863.3"/>
    <n v="7557.5"/>
    <n v="305.8"/>
    <x v="5"/>
  </r>
  <r>
    <s v="CUST004"/>
    <s v="Sarah Davis"/>
    <x v="0"/>
    <x v="4"/>
    <n v="1443.98"/>
    <n v="19"/>
    <n v="0"/>
    <d v="2024-09-12T00:00:00"/>
    <n v="27435.62"/>
    <n v="26785.829999999998"/>
    <n v="649.79"/>
    <x v="5"/>
  </r>
  <r>
    <s v="CUST023"/>
    <s v="James Wilson"/>
    <x v="1"/>
    <x v="4"/>
    <n v="1154.33"/>
    <n v="11"/>
    <n v="0.15"/>
    <d v="2024-09-14T00:00:00"/>
    <n v="12678.583554999999"/>
    <n v="12237.053554999999"/>
    <n v="441.53"/>
    <x v="5"/>
  </r>
  <r>
    <s v="CUST022"/>
    <s v="Linda Brown"/>
    <x v="2"/>
    <x v="0"/>
    <n v="1264.49"/>
    <n v="16"/>
    <n v="0.05"/>
    <d v="2024-09-14T00:00:00"/>
    <n v="20221.72408"/>
    <n v="19741.214080000002"/>
    <n v="480.51"/>
    <x v="5"/>
  </r>
  <r>
    <s v="CUST007"/>
    <s v="Emma Taylor"/>
    <x v="0"/>
    <x v="3"/>
    <n v="1101.55"/>
    <n v="4"/>
    <n v="0.1"/>
    <d v="2024-09-16T00:00:00"/>
    <n v="4401.7937999999995"/>
    <n v="4054.8037999999997"/>
    <n v="346.99"/>
    <x v="5"/>
  </r>
  <r>
    <s v="CUST013"/>
    <s v="Robert Anderson"/>
    <x v="2"/>
    <x v="3"/>
    <n v="727.73"/>
    <n v="1"/>
    <n v="0.1"/>
    <d v="2024-09-17T00:00:00"/>
    <n v="727.00227000000007"/>
    <n v="497.77227000000005"/>
    <n v="229.23"/>
    <x v="5"/>
  </r>
  <r>
    <s v="CUST027"/>
    <s v="Emma Davis"/>
    <x v="1"/>
    <x v="4"/>
    <n v="875.41"/>
    <n v="13"/>
    <n v="0.15"/>
    <d v="2024-09-17T00:00:00"/>
    <n v="11363.259505"/>
    <n v="11028.419505"/>
    <n v="334.84"/>
    <x v="5"/>
  </r>
  <r>
    <s v="CUST003"/>
    <s v="James Wilson"/>
    <x v="0"/>
    <x v="2"/>
    <n v="1158.94"/>
    <n v="19"/>
    <n v="0.2"/>
    <d v="2024-09-18T00:00:00"/>
    <n v="21975.82028"/>
    <n v="21744.030279999999"/>
    <n v="231.79"/>
    <x v="5"/>
  </r>
  <r>
    <s v="CUST018"/>
    <s v="Mary Jackson"/>
    <x v="2"/>
    <x v="0"/>
    <n v="966.3"/>
    <n v="2"/>
    <n v="0.15"/>
    <d v="2024-09-22T00:00:00"/>
    <n v="1929.7011"/>
    <n v="1601.1611"/>
    <n v="328.54"/>
    <x v="5"/>
  </r>
  <r>
    <s v="CUST020"/>
    <s v="James Taylor"/>
    <x v="2"/>
    <x v="0"/>
    <n v="917.48"/>
    <n v="6"/>
    <n v="0"/>
    <d v="2024-09-23T00:00:00"/>
    <n v="5504.88"/>
    <n v="5137.8900000000003"/>
    <n v="366.99"/>
    <x v="5"/>
  </r>
  <r>
    <s v="CUST029"/>
    <s v="Emma Wilson"/>
    <x v="0"/>
    <x v="3"/>
    <n v="1172.97"/>
    <n v="7"/>
    <n v="0.15"/>
    <d v="2024-09-24T00:00:00"/>
    <n v="8198.4738150000012"/>
    <n v="7849.5138150000012"/>
    <n v="348.96"/>
    <x v="5"/>
  </r>
  <r>
    <s v="CUST021"/>
    <s v="James Wilson"/>
    <x v="3"/>
    <x v="1"/>
    <n v="1205.82"/>
    <n v="11"/>
    <n v="0.1"/>
    <d v="2024-09-24T00:00:00"/>
    <n v="13250.755979999998"/>
    <n v="12708.135979999997"/>
    <n v="542.62"/>
    <x v="5"/>
  </r>
  <r>
    <s v="CUST017"/>
    <s v="Sarah Davis"/>
    <x v="0"/>
    <x v="4"/>
    <n v="826.93"/>
    <n v="10"/>
    <n v="0.2"/>
    <d v="2024-09-29T00:00:00"/>
    <n v="8252.7613999999994"/>
    <n v="7955.0713999999998"/>
    <n v="297.69"/>
    <x v="5"/>
  </r>
  <r>
    <s v="CUST003"/>
    <s v="James Wilson"/>
    <x v="4"/>
    <x v="1"/>
    <n v="902.19"/>
    <n v="12"/>
    <n v="0"/>
    <d v="2024-09-29T00:00:00"/>
    <n v="10826.28"/>
    <n v="10375.18"/>
    <n v="451.1"/>
    <x v="5"/>
  </r>
  <r>
    <s v="CUST027"/>
    <s v="Emma Davis"/>
    <x v="3"/>
    <x v="0"/>
    <n v="585.97"/>
    <n v="17"/>
    <n v="0.1"/>
    <d v="2024-09-30T00:00:00"/>
    <n v="9951.5285100000001"/>
    <n v="9740.5785099999994"/>
    <n v="210.95"/>
    <x v="5"/>
  </r>
  <r>
    <s v="CUST016"/>
    <s v="Michael Anderson"/>
    <x v="3"/>
    <x v="1"/>
    <n v="990.19"/>
    <n v="8"/>
    <n v="0.1"/>
    <d v="2024-09-30T00:00:00"/>
    <n v="7913.5984800000006"/>
    <n v="7468.0084800000004"/>
    <n v="445.59"/>
    <x v="5"/>
  </r>
  <r>
    <s v="CUST008"/>
    <s v="David Davis"/>
    <x v="4"/>
    <x v="2"/>
    <n v="1014.09"/>
    <n v="13"/>
    <n v="0.2"/>
    <d v="2024-10-02T00:00:00"/>
    <n v="13156.80366"/>
    <n v="12953.98366"/>
    <n v="202.82"/>
    <x v="6"/>
  </r>
  <r>
    <s v="CUST012"/>
    <s v="Lisa Davis"/>
    <x v="3"/>
    <x v="2"/>
    <n v="925.29"/>
    <n v="17"/>
    <n v="0"/>
    <d v="2024-10-05T00:00:00"/>
    <n v="15729.93"/>
    <n v="15498.61"/>
    <n v="231.32"/>
    <x v="6"/>
  </r>
  <r>
    <s v="CUST025"/>
    <s v="Mary Jackson"/>
    <x v="1"/>
    <x v="3"/>
    <n v="1286.54"/>
    <n v="8"/>
    <n v="0"/>
    <d v="2024-10-10T00:00:00"/>
    <n v="10292.32"/>
    <n v="9842.0299999999988"/>
    <n v="450.29"/>
    <x v="6"/>
  </r>
  <r>
    <s v="CUST014"/>
    <s v="Sarah Davis"/>
    <x v="2"/>
    <x v="0"/>
    <n v="961.62"/>
    <n v="8"/>
    <n v="0.2"/>
    <d v="2024-10-12T00:00:00"/>
    <n v="7677.5740800000003"/>
    <n v="7369.8540800000001"/>
    <n v="307.72000000000003"/>
    <x v="6"/>
  </r>
  <r>
    <s v="CUST008"/>
    <s v="James Wilson"/>
    <x v="1"/>
    <x v="0"/>
    <n v="1081.1400000000001"/>
    <n v="19"/>
    <n v="0.15"/>
    <d v="2024-10-12T00:00:00"/>
    <n v="20510.847510000003"/>
    <n v="20143.257510000003"/>
    <n v="367.59"/>
    <x v="6"/>
  </r>
  <r>
    <s v="CUST015"/>
    <s v="James Wilson"/>
    <x v="0"/>
    <x v="1"/>
    <n v="1923.66"/>
    <n v="9"/>
    <n v="0.2"/>
    <d v="2024-10-15T00:00:00"/>
    <n v="17278.314120000003"/>
    <n v="16508.854120000004"/>
    <n v="769.46"/>
    <x v="6"/>
  </r>
  <r>
    <s v="CUST025"/>
    <s v="Emma Taylor"/>
    <x v="4"/>
    <x v="1"/>
    <n v="728.71"/>
    <n v="14"/>
    <n v="0.1"/>
    <d v="2024-10-16T00:00:00"/>
    <n v="10191.73806"/>
    <n v="9863.8180599999996"/>
    <n v="327.92"/>
    <x v="6"/>
  </r>
  <r>
    <s v="CUST019"/>
    <s v="Linda Jackson"/>
    <x v="4"/>
    <x v="1"/>
    <n v="1301.8900000000001"/>
    <n v="7"/>
    <n v="0.15"/>
    <d v="2024-10-16T00:00:00"/>
    <n v="9099.560155000001"/>
    <n v="8546.2601550000018"/>
    <n v="553.29999999999995"/>
    <x v="6"/>
  </r>
  <r>
    <s v="CUST024"/>
    <s v="Emma Taylor"/>
    <x v="1"/>
    <x v="0"/>
    <n v="980.18"/>
    <n v="16"/>
    <n v="0.1"/>
    <d v="2024-10-17T00:00:00"/>
    <n v="15667.197119999999"/>
    <n v="15314.337119999998"/>
    <n v="352.86"/>
    <x v="6"/>
  </r>
  <r>
    <s v="CUST027"/>
    <s v="James Wilson"/>
    <x v="0"/>
    <x v="1"/>
    <n v="697.57"/>
    <n v="17"/>
    <n v="0.1"/>
    <d v="2024-10-19T00:00:00"/>
    <n v="11846.831310000001"/>
    <n v="11532.921310000002"/>
    <n v="313.91000000000003"/>
    <x v="6"/>
  </r>
  <r>
    <s v="CUST006"/>
    <s v="David Anderson"/>
    <x v="0"/>
    <x v="3"/>
    <n v="1193.6099999999999"/>
    <n v="1"/>
    <n v="0.15"/>
    <d v="2024-10-19T00:00:00"/>
    <n v="1191.819585"/>
    <n v="836.71958499999994"/>
    <n v="355.1"/>
    <x v="6"/>
  </r>
  <r>
    <s v="CUST009"/>
    <s v="Emma Davis"/>
    <x v="2"/>
    <x v="2"/>
    <n v="771.02"/>
    <n v="1"/>
    <n v="0"/>
    <d v="2024-10-20T00:00:00"/>
    <n v="771.02"/>
    <n v="578.26"/>
    <n v="192.76"/>
    <x v="6"/>
  </r>
  <r>
    <s v="CUST003"/>
    <s v="Linda Moore"/>
    <x v="3"/>
    <x v="1"/>
    <n v="661.09"/>
    <n v="1"/>
    <n v="0.2"/>
    <d v="2024-10-28T00:00:00"/>
    <n v="659.76782000000003"/>
    <n v="395.32782000000003"/>
    <n v="264.44"/>
    <x v="6"/>
  </r>
  <r>
    <s v="CUST012"/>
    <s v="David Brown"/>
    <x v="0"/>
    <x v="2"/>
    <n v="688.83"/>
    <n v="15"/>
    <n v="0"/>
    <d v="2024-10-30T00:00:00"/>
    <n v="10332.450000000001"/>
    <n v="10160.240000000002"/>
    <n v="172.21"/>
    <x v="6"/>
  </r>
  <r>
    <s v="CUST013"/>
    <s v="Linda Wilson"/>
    <x v="4"/>
    <x v="0"/>
    <n v="1249.0999999999999"/>
    <n v="4"/>
    <n v="0.05"/>
    <d v="2024-11-01T00:00:00"/>
    <n v="4993.9017999999996"/>
    <n v="4519.2417999999998"/>
    <n v="474.66"/>
    <x v="7"/>
  </r>
  <r>
    <s v="CUST008"/>
    <s v="James Wilson"/>
    <x v="1"/>
    <x v="4"/>
    <n v="1014.22"/>
    <n v="14"/>
    <n v="0.05"/>
    <d v="2024-11-03T00:00:00"/>
    <n v="14191.980460000001"/>
    <n v="13758.400460000001"/>
    <n v="433.58"/>
    <x v="7"/>
  </r>
  <r>
    <s v="CUST025"/>
    <s v="Lisa Davis"/>
    <x v="1"/>
    <x v="0"/>
    <n v="1010.58"/>
    <n v="2"/>
    <n v="0.15"/>
    <d v="2024-11-09T00:00:00"/>
    <n v="2018.1282600000002"/>
    <n v="1674.52826"/>
    <n v="343.6"/>
    <x v="7"/>
  </r>
  <r>
    <s v="CUST026"/>
    <s v="Mary Wilson"/>
    <x v="3"/>
    <x v="3"/>
    <n v="957.29"/>
    <n v="4"/>
    <n v="0.05"/>
    <d v="2024-11-09T00:00:00"/>
    <n v="3827.2454199999997"/>
    <n v="3508.9454199999996"/>
    <n v="318.3"/>
    <x v="7"/>
  </r>
  <r>
    <s v="CUST001"/>
    <s v="Lisa Thomas"/>
    <x v="3"/>
    <x v="3"/>
    <n v="1077.92"/>
    <n v="3"/>
    <n v="0.05"/>
    <d v="2024-11-12T00:00:00"/>
    <n v="3232.1431200000002"/>
    <n v="2873.7331200000003"/>
    <n v="358.41"/>
    <x v="7"/>
  </r>
  <r>
    <s v="CUST028"/>
    <s v="Linda Brown"/>
    <x v="2"/>
    <x v="1"/>
    <n v="1163.01"/>
    <n v="5"/>
    <n v="0"/>
    <d v="2024-11-15T00:00:00"/>
    <n v="5815.05"/>
    <n v="5233.55"/>
    <n v="581.5"/>
    <x v="7"/>
  </r>
  <r>
    <s v="CUST025"/>
    <s v="Lisa Thomas"/>
    <x v="1"/>
    <x v="4"/>
    <n v="1014.56"/>
    <n v="10"/>
    <n v="0.1"/>
    <d v="2024-11-16T00:00:00"/>
    <n v="10135.454399999999"/>
    <n v="9724.5543999999991"/>
    <n v="410.9"/>
    <x v="7"/>
  </r>
  <r>
    <s v="CUST019"/>
    <s v="James Taylor"/>
    <x v="2"/>
    <x v="2"/>
    <n v="718.04"/>
    <n v="14"/>
    <n v="0"/>
    <d v="2024-11-17T00:00:00"/>
    <n v="10052.56"/>
    <n v="9873.0499999999993"/>
    <n v="179.51"/>
    <x v="7"/>
  </r>
  <r>
    <s v="CUST004"/>
    <s v="James Taylor"/>
    <x v="4"/>
    <x v="1"/>
    <n v="1277.8499999999999"/>
    <n v="18"/>
    <n v="0.2"/>
    <d v="2024-11-17T00:00:00"/>
    <n v="22955.297399999999"/>
    <n v="22444.1574"/>
    <n v="511.14"/>
    <x v="7"/>
  </r>
  <r>
    <s v="CUST024"/>
    <s v="James Wilson"/>
    <x v="3"/>
    <x v="2"/>
    <n v="706.73"/>
    <n v="1"/>
    <n v="0.15"/>
    <d v="2024-11-17T00:00:00"/>
    <n v="705.66990499999997"/>
    <n v="555.48990499999991"/>
    <n v="150.18"/>
    <x v="7"/>
  </r>
  <r>
    <s v="CUST002"/>
    <s v="Linda Brown"/>
    <x v="1"/>
    <x v="2"/>
    <n v="1410.59"/>
    <n v="15"/>
    <n v="0"/>
    <d v="2024-11-19T00:00:00"/>
    <n v="21158.85"/>
    <n v="20806.199999999997"/>
    <n v="352.65"/>
    <x v="7"/>
  </r>
  <r>
    <s v="CUST009"/>
    <s v="Emma Wilson"/>
    <x v="2"/>
    <x v="3"/>
    <n v="1350.33"/>
    <n v="10"/>
    <n v="0"/>
    <d v="2024-11-19T00:00:00"/>
    <n v="13503.3"/>
    <n v="13030.679999999998"/>
    <n v="472.62"/>
    <x v="7"/>
  </r>
  <r>
    <s v="CUST029"/>
    <s v="Lisa Thomas"/>
    <x v="1"/>
    <x v="2"/>
    <n v="919.18"/>
    <n v="4"/>
    <n v="0.15"/>
    <d v="2024-11-19T00:00:00"/>
    <n v="3671.2049199999997"/>
    <n v="3475.8749199999997"/>
    <n v="195.33"/>
    <x v="7"/>
  </r>
  <r>
    <s v="CUST027"/>
    <s v="James Wilson"/>
    <x v="0"/>
    <x v="2"/>
    <n v="258.51"/>
    <n v="19"/>
    <n v="0"/>
    <d v="2024-11-20T00:00:00"/>
    <n v="4911.6899999999996"/>
    <n v="4847.0599999999995"/>
    <n v="64.63"/>
    <x v="7"/>
  </r>
  <r>
    <s v="CUST011"/>
    <s v="Emma Wilson"/>
    <x v="1"/>
    <x v="0"/>
    <n v="1213.48"/>
    <n v="5"/>
    <n v="0.05"/>
    <d v="2024-11-20T00:00:00"/>
    <n v="6064.3662999999997"/>
    <n v="5603.2462999999998"/>
    <n v="461.12"/>
    <x v="7"/>
  </r>
  <r>
    <s v="CUST021"/>
    <s v="Emma Davis"/>
    <x v="4"/>
    <x v="0"/>
    <n v="1150.28"/>
    <n v="8"/>
    <n v="0.05"/>
    <d v="2024-11-26T00:00:00"/>
    <n v="9197.6388800000004"/>
    <n v="8760.5288799999998"/>
    <n v="437.11"/>
    <x v="7"/>
  </r>
  <r>
    <s v="CUST014"/>
    <s v="David Anderson"/>
    <x v="2"/>
    <x v="3"/>
    <n v="853.86"/>
    <n v="8"/>
    <n v="0.1"/>
    <d v="2024-11-26T00:00:00"/>
    <n v="6824.0491199999997"/>
    <n v="6555.0791199999994"/>
    <n v="268.97000000000003"/>
    <x v="7"/>
  </r>
  <r>
    <s v="CUST018"/>
    <s v="Lisa Thomas"/>
    <x v="2"/>
    <x v="2"/>
    <n v="1061.04"/>
    <n v="1"/>
    <n v="0"/>
    <d v="2024-11-28T00:00:00"/>
    <n v="1061.04"/>
    <n v="795.78"/>
    <n v="265.26"/>
    <x v="7"/>
  </r>
  <r>
    <s v="CUST001"/>
    <s v="Sarah Anderson"/>
    <x v="0"/>
    <x v="2"/>
    <n v="894.55"/>
    <n v="19"/>
    <n v="0.2"/>
    <d v="2024-11-29T00:00:00"/>
    <n v="16962.4571"/>
    <n v="16783.5471"/>
    <n v="178.91"/>
    <x v="7"/>
  </r>
  <r>
    <s v="CUST007"/>
    <s v="Emma Davis"/>
    <x v="3"/>
    <x v="4"/>
    <n v="833.91"/>
    <n v="3"/>
    <n v="0.05"/>
    <d v="2024-11-30T00:00:00"/>
    <n v="2500.479135"/>
    <n v="2143.979135"/>
    <n v="356.5"/>
    <x v="7"/>
  </r>
  <r>
    <s v="CUST015"/>
    <s v="David Anderson"/>
    <x v="0"/>
    <x v="3"/>
    <n v="820.19"/>
    <n v="4"/>
    <n v="0.2"/>
    <d v="2024-12-04T00:00:00"/>
    <n v="3274.19848"/>
    <n v="3044.5484799999999"/>
    <n v="229.65"/>
    <x v="8"/>
  </r>
  <r>
    <s v="CUST015"/>
    <s v="Emma Davis"/>
    <x v="4"/>
    <x v="2"/>
    <n v="511.74"/>
    <n v="8"/>
    <n v="0.05"/>
    <d v="2024-12-05T00:00:00"/>
    <n v="4091.8730399999999"/>
    <n v="3970.33304"/>
    <n v="121.54"/>
    <x v="8"/>
  </r>
  <r>
    <s v="CUST002"/>
    <s v="Emma Wilson"/>
    <x v="2"/>
    <x v="3"/>
    <n v="806.03"/>
    <n v="19"/>
    <n v="0.05"/>
    <d v="2024-12-12T00:00:00"/>
    <n v="15306.912715"/>
    <n v="15038.912715"/>
    <n v="268"/>
    <x v="8"/>
  </r>
  <r>
    <s v="CUST001"/>
    <s v="Michael Anderson"/>
    <x v="4"/>
    <x v="3"/>
    <n v="1432.47"/>
    <n v="16"/>
    <n v="0.15"/>
    <d v="2024-12-14T00:00:00"/>
    <n v="22885.140719999999"/>
    <n v="22458.98072"/>
    <n v="426.16"/>
    <x v="8"/>
  </r>
  <r>
    <s v="CUST027"/>
    <s v="Linda Wilson"/>
    <x v="4"/>
    <x v="2"/>
    <n v="1488.58"/>
    <n v="10"/>
    <n v="0.15"/>
    <d v="2024-12-14T00:00:00"/>
    <n v="14863.471299999999"/>
    <n v="14547.1513"/>
    <n v="316.32"/>
    <x v="8"/>
  </r>
  <r>
    <s v="CUST026"/>
    <s v="Emma Taylor"/>
    <x v="1"/>
    <x v="0"/>
    <n v="1231.26"/>
    <n v="9"/>
    <n v="0"/>
    <d v="2024-12-20T00:00:00"/>
    <n v="11081.34"/>
    <n v="10588.84"/>
    <n v="492.5"/>
    <x v="8"/>
  </r>
  <r>
    <s v="CUST026"/>
    <s v="Sarah Anderson"/>
    <x v="0"/>
    <x v="2"/>
    <n v="1161.67"/>
    <n v="19"/>
    <n v="0.2"/>
    <d v="2024-12-21T00:00:00"/>
    <n v="22027.586540000004"/>
    <n v="21795.256540000002"/>
    <n v="232.33"/>
    <x v="8"/>
  </r>
  <r>
    <s v="CUST022"/>
    <s v="Lisa Thomas"/>
    <x v="4"/>
    <x v="4"/>
    <n v="388.23"/>
    <n v="16"/>
    <n v="0.05"/>
    <d v="2024-12-24T00:00:00"/>
    <n v="6208.5741600000001"/>
    <n v="6042.6041599999999"/>
    <n v="165.97"/>
    <x v="8"/>
  </r>
  <r>
    <s v="CUST004"/>
    <s v="Mary Davis"/>
    <x v="3"/>
    <x v="1"/>
    <n v="1589.42"/>
    <n v="6"/>
    <n v="0.15"/>
    <d v="2024-12-25T00:00:00"/>
    <n v="9522.21522"/>
    <n v="8846.71522"/>
    <n v="675.5"/>
    <x v="8"/>
  </r>
  <r>
    <s v="CUST001"/>
    <s v="David Anderson"/>
    <x v="3"/>
    <x v="1"/>
    <n v="336.66"/>
    <n v="13"/>
    <n v="0.2"/>
    <d v="2024-12-25T00:00:00"/>
    <n v="4367.8268399999997"/>
    <n v="4233.1668399999999"/>
    <n v="134.66"/>
    <x v="8"/>
  </r>
  <r>
    <s v="CUST022"/>
    <s v="James Wilson"/>
    <x v="0"/>
    <x v="0"/>
    <n v="1353.79"/>
    <n v="14"/>
    <n v="0.1"/>
    <d v="2024-12-30T00:00:00"/>
    <n v="18934.106939999998"/>
    <n v="18446.746939999997"/>
    <n v="487.36"/>
    <x v="8"/>
  </r>
  <r>
    <s v="CUST011"/>
    <s v="Linda Moore"/>
    <x v="4"/>
    <x v="1"/>
    <n v="662.61"/>
    <n v="11"/>
    <n v="0.05"/>
    <d v="2025-01-01T00:00:00"/>
    <n v="7285.0656449999997"/>
    <n v="6970.3256449999999"/>
    <n v="314.74"/>
    <x v="9"/>
  </r>
  <r>
    <s v="CUST028"/>
    <s v="Lisa Davis"/>
    <x v="3"/>
    <x v="4"/>
    <n v="309.42"/>
    <n v="1"/>
    <n v="0.2"/>
    <d v="2025-01-01T00:00:00"/>
    <n v="308.80116000000004"/>
    <n v="197.41116000000005"/>
    <n v="111.39"/>
    <x v="9"/>
  </r>
  <r>
    <s v="CUST011"/>
    <s v="Linda Wilson"/>
    <x v="3"/>
    <x v="0"/>
    <n v="884.63"/>
    <n v="18"/>
    <n v="0.1"/>
    <d v="2025-01-02T00:00:00"/>
    <n v="15907.416660000001"/>
    <n v="15588.946660000001"/>
    <n v="318.47000000000003"/>
    <x v="9"/>
  </r>
  <r>
    <s v="CUST028"/>
    <s v="James Wilson"/>
    <x v="4"/>
    <x v="4"/>
    <n v="745.05"/>
    <n v="10"/>
    <n v="0.1"/>
    <d v="2025-01-03T00:00:00"/>
    <n v="7443.0495000000001"/>
    <n v="7141.2995000000001"/>
    <n v="301.75"/>
    <x v="9"/>
  </r>
  <r>
    <s v="CUST016"/>
    <s v="James Taylor"/>
    <x v="2"/>
    <x v="1"/>
    <n v="870.23"/>
    <n v="5"/>
    <n v="0.05"/>
    <d v="2025-01-03T00:00:00"/>
    <n v="4348.9744249999994"/>
    <n v="3935.6144249999993"/>
    <n v="413.36"/>
    <x v="9"/>
  </r>
  <r>
    <s v="CUST010"/>
    <s v="Linda Wilson"/>
    <x v="0"/>
    <x v="3"/>
    <n v="862.19"/>
    <n v="18"/>
    <n v="0.05"/>
    <d v="2025-01-06T00:00:00"/>
    <n v="15511.660290000002"/>
    <n v="15224.980290000001"/>
    <n v="286.68"/>
    <x v="9"/>
  </r>
  <r>
    <s v="CUST013"/>
    <s v="Mary Wilson"/>
    <x v="3"/>
    <x v="1"/>
    <n v="1171.18"/>
    <n v="19"/>
    <n v="0.05"/>
    <d v="2025-01-10T00:00:00"/>
    <n v="22241.293790000003"/>
    <n v="21684.983790000002"/>
    <n v="556.30999999999995"/>
    <x v="9"/>
  </r>
  <r>
    <s v="CUST015"/>
    <s v="Robert Anderson"/>
    <x v="2"/>
    <x v="3"/>
    <n v="1054.56"/>
    <n v="11"/>
    <n v="0.1"/>
    <d v="2025-01-12T00:00:00"/>
    <n v="11588.55984"/>
    <n v="11256.369839999999"/>
    <n v="332.19"/>
    <x v="9"/>
  </r>
  <r>
    <s v="CUST015"/>
    <s v="James Wilson"/>
    <x v="3"/>
    <x v="2"/>
    <n v="1681.21"/>
    <n v="5"/>
    <n v="0.2"/>
    <d v="2025-01-13T00:00:00"/>
    <n v="8389.2379000000001"/>
    <n v="8052.9979000000003"/>
    <n v="336.24"/>
    <x v="9"/>
  </r>
  <r>
    <s v="CUST015"/>
    <s v="David Thomas"/>
    <x v="0"/>
    <x v="1"/>
    <n v="379.77"/>
    <n v="9"/>
    <n v="0.05"/>
    <d v="2025-01-16T00:00:00"/>
    <n v="3416.221035"/>
    <n v="3235.8310350000002"/>
    <n v="180.39"/>
    <x v="9"/>
  </r>
  <r>
    <s v="CUST008"/>
    <s v="Lisa Thomas"/>
    <x v="4"/>
    <x v="1"/>
    <n v="1076.33"/>
    <n v="2"/>
    <n v="0.1"/>
    <d v="2025-01-17T00:00:00"/>
    <n v="2150.5073399999997"/>
    <n v="1666.1573399999997"/>
    <n v="484.35"/>
    <x v="9"/>
  </r>
  <r>
    <s v="CUST008"/>
    <s v="Mary Davis"/>
    <x v="4"/>
    <x v="4"/>
    <n v="1250.71"/>
    <n v="7"/>
    <n v="0"/>
    <d v="2025-01-17T00:00:00"/>
    <n v="8754.9700000000012"/>
    <n v="8192.1500000000015"/>
    <n v="562.82000000000005"/>
    <x v="9"/>
  </r>
  <r>
    <s v="CUST023"/>
    <s v="James Taylor"/>
    <x v="2"/>
    <x v="1"/>
    <n v="1118.3399999999999"/>
    <n v="6"/>
    <n v="0.2"/>
    <d v="2025-01-17T00:00:00"/>
    <n v="6696.6199199999992"/>
    <n v="6249.279919999999"/>
    <n v="447.34"/>
    <x v="9"/>
  </r>
  <r>
    <s v="CUST024"/>
    <s v="Linda Taylor"/>
    <x v="3"/>
    <x v="1"/>
    <n v="1622.62"/>
    <n v="12"/>
    <n v="0.2"/>
    <d v="2025-01-20T00:00:00"/>
    <n v="19432.49712"/>
    <n v="18783.447120000001"/>
    <n v="649.04999999999995"/>
    <x v="9"/>
  </r>
  <r>
    <s v="CUST018"/>
    <s v="Lisa Davis"/>
    <x v="3"/>
    <x v="0"/>
    <n v="640.64"/>
    <n v="11"/>
    <n v="0.2"/>
    <d v="2025-01-21T00:00:00"/>
    <n v="7032.9459200000001"/>
    <n v="6827.9459200000001"/>
    <n v="205"/>
    <x v="9"/>
  </r>
  <r>
    <s v="CUST030"/>
    <s v="Sarah Anderson"/>
    <x v="0"/>
    <x v="1"/>
    <n v="585.16"/>
    <n v="17"/>
    <n v="0.1"/>
    <d v="2025-01-27T00:00:00"/>
    <n v="9937.7722799999992"/>
    <n v="9674.4522799999995"/>
    <n v="263.32"/>
    <x v="9"/>
  </r>
  <r>
    <s v="CUST030"/>
    <s v="Mary Davis"/>
    <x v="1"/>
    <x v="1"/>
    <n v="1109.98"/>
    <n v="5"/>
    <n v="0.2"/>
    <d v="2025-02-02T00:00:00"/>
    <n v="5538.8001999999997"/>
    <n v="5094.8101999999999"/>
    <n v="443.99"/>
    <x v="10"/>
  </r>
  <r>
    <s v="CUST015"/>
    <s v="Lisa Thomas"/>
    <x v="1"/>
    <x v="0"/>
    <n v="1098.08"/>
    <n v="9"/>
    <n v="0.1"/>
    <d v="2025-02-04T00:00:00"/>
    <n v="9872.8372799999997"/>
    <n v="9477.5272800000002"/>
    <n v="395.31"/>
    <x v="10"/>
  </r>
  <r>
    <s v="CUST002"/>
    <s v="Lisa Davis"/>
    <x v="0"/>
    <x v="4"/>
    <n v="827.25"/>
    <n v="7"/>
    <n v="0.1"/>
    <d v="2025-02-05T00:00:00"/>
    <n v="5784.9592499999999"/>
    <n v="5449.9192499999999"/>
    <n v="335.04"/>
    <x v="10"/>
  </r>
  <r>
    <s v="CUST024"/>
    <s v="Linda Wilson"/>
    <x v="4"/>
    <x v="1"/>
    <n v="741.88"/>
    <n v="16"/>
    <n v="0.1"/>
    <d v="2025-02-07T00:00:00"/>
    <n v="11858.209919999999"/>
    <n v="11524.359919999999"/>
    <n v="333.85"/>
    <x v="10"/>
  </r>
  <r>
    <s v="CUST004"/>
    <s v="James Davis"/>
    <x v="1"/>
    <x v="4"/>
    <n v="1311.26"/>
    <n v="6"/>
    <n v="0.1"/>
    <d v="2025-02-10T00:00:00"/>
    <n v="7859.6924399999998"/>
    <n v="7328.6324399999994"/>
    <n v="531.05999999999995"/>
    <x v="10"/>
  </r>
  <r>
    <s v="CUST004"/>
    <s v="Mary Davis"/>
    <x v="2"/>
    <x v="4"/>
    <n v="573.32000000000005"/>
    <n v="19"/>
    <n v="0.1"/>
    <d v="2025-02-15T00:00:00"/>
    <n v="10882.186920000002"/>
    <n v="10649.996920000001"/>
    <n v="232.19"/>
    <x v="10"/>
  </r>
  <r>
    <s v="CUST028"/>
    <s v="James Wilson"/>
    <x v="0"/>
    <x v="2"/>
    <n v="1115.22"/>
    <n v="14"/>
    <n v="0.2"/>
    <d v="2025-02-17T00:00:00"/>
    <n v="15581.85384"/>
    <n v="15358.813839999999"/>
    <n v="223.04"/>
    <x v="10"/>
  </r>
  <r>
    <s v="CUST012"/>
    <s v="Lisa Thomas"/>
    <x v="3"/>
    <x v="1"/>
    <n v="845.84"/>
    <n v="4"/>
    <n v="0"/>
    <d v="2025-02-19T00:00:00"/>
    <n v="3383.36"/>
    <n v="2960.44"/>
    <n v="422.92"/>
    <x v="10"/>
  </r>
  <r>
    <s v="CUST026"/>
    <s v="David Brown"/>
    <x v="0"/>
    <x v="2"/>
    <n v="1029.8"/>
    <n v="3"/>
    <n v="0"/>
    <d v="2025-02-20T00:00:00"/>
    <n v="3089.3999999999996"/>
    <n v="2831.95"/>
    <n v="257.45"/>
    <x v="10"/>
  </r>
  <r>
    <s v="CUST009"/>
    <s v="Mary Davis"/>
    <x v="3"/>
    <x v="0"/>
    <n v="1189.83"/>
    <n v="2"/>
    <n v="0.2"/>
    <d v="2025-02-21T00:00:00"/>
    <n v="2374.9006799999997"/>
    <n v="1994.1506799999997"/>
    <n v="380.75"/>
    <x v="10"/>
  </r>
  <r>
    <s v="CUST003"/>
    <s v="Sarah Anderson"/>
    <x v="2"/>
    <x v="0"/>
    <n v="704.28"/>
    <n v="15"/>
    <n v="0.2"/>
    <d v="2025-02-24T00:00:00"/>
    <n v="10543.071599999999"/>
    <n v="10317.701599999999"/>
    <n v="225.37"/>
    <x v="10"/>
  </r>
  <r>
    <s v="CUST002"/>
    <s v="Mary Jackson"/>
    <x v="4"/>
    <x v="4"/>
    <n v="1618.22"/>
    <n v="12"/>
    <n v="0.2"/>
    <d v="2025-02-24T00:00:00"/>
    <n v="19379.80272"/>
    <n v="18797.242719999998"/>
    <n v="582.55999999999995"/>
    <x v="10"/>
  </r>
  <r>
    <s v="CUST013"/>
    <s v="Linda Taylor"/>
    <x v="4"/>
    <x v="0"/>
    <n v="1014.43"/>
    <n v="2"/>
    <n v="0.15"/>
    <d v="2025-02-25T00:00:00"/>
    <n v="2025.8167099999998"/>
    <n v="1680.9067099999997"/>
    <n v="344.91"/>
    <x v="10"/>
  </r>
  <r>
    <s v="CUST018"/>
    <s v="Mary Davis"/>
    <x v="4"/>
    <x v="1"/>
    <n v="826.97"/>
    <n v="18"/>
    <n v="0.2"/>
    <d v="2025-02-27T00:00:00"/>
    <n v="14855.68908"/>
    <n v="14524.899079999999"/>
    <n v="330.79"/>
    <x v="10"/>
  </r>
  <r>
    <s v="CUST017"/>
    <s v="Mary Davis"/>
    <x v="4"/>
    <x v="1"/>
    <n v="1022.23"/>
    <n v="8"/>
    <n v="0.1"/>
    <d v="2025-03-01T00:00:00"/>
    <n v="8169.6621599999999"/>
    <n v="7709.6621599999999"/>
    <n v="460"/>
    <x v="11"/>
  </r>
  <r>
    <s v="CUST004"/>
    <s v="Linda Wilson"/>
    <x v="1"/>
    <x v="0"/>
    <n v="1099.69"/>
    <n v="6"/>
    <n v="0"/>
    <d v="2025-03-02T00:00:00"/>
    <n v="6598.14"/>
    <n v="6158.26"/>
    <n v="439.88"/>
    <x v="11"/>
  </r>
  <r>
    <s v="CUST028"/>
    <s v="Sarah Davis"/>
    <x v="3"/>
    <x v="0"/>
    <n v="710.52"/>
    <n v="8"/>
    <n v="0.1"/>
    <d v="2025-03-05T00:00:00"/>
    <n v="5678.4758400000001"/>
    <n v="5422.6858400000001"/>
    <n v="255.79"/>
    <x v="11"/>
  </r>
  <r>
    <s v="CUST028"/>
    <s v="Mary Wilson"/>
    <x v="3"/>
    <x v="0"/>
    <n v="499.18"/>
    <n v="15"/>
    <n v="0.2"/>
    <d v="2025-03-08T00:00:00"/>
    <n v="7472.7245999999996"/>
    <n v="7312.9845999999998"/>
    <n v="159.74"/>
    <x v="11"/>
  </r>
  <r>
    <s v="CUST014"/>
    <s v="Emma Davis"/>
    <x v="2"/>
    <x v="0"/>
    <n v="1064.19"/>
    <n v="18"/>
    <n v="0.05"/>
    <d v="2025-03-09T00:00:00"/>
    <n v="19145.842290000001"/>
    <n v="18741.452290000001"/>
    <n v="404.39"/>
    <x v="11"/>
  </r>
  <r>
    <s v="CUST003"/>
    <s v="Emma Davis"/>
    <x v="1"/>
    <x v="4"/>
    <n v="438.76"/>
    <n v="18"/>
    <n v="0.05"/>
    <d v="2025-03-10T00:00:00"/>
    <n v="7893.7311600000003"/>
    <n v="7706.1611600000006"/>
    <n v="187.57"/>
    <x v="11"/>
  </r>
  <r>
    <s v="CUST029"/>
    <s v="David Brown"/>
    <x v="0"/>
    <x v="1"/>
    <n v="864.98"/>
    <n v="2"/>
    <n v="0.05"/>
    <d v="2025-03-11T00:00:00"/>
    <n v="1729.09502"/>
    <n v="1318.2250199999999"/>
    <n v="410.87"/>
    <x v="11"/>
  </r>
  <r>
    <s v="CUST021"/>
    <s v="David Brown"/>
    <x v="0"/>
    <x v="3"/>
    <n v="984.93"/>
    <n v="14"/>
    <n v="0.2"/>
    <d v="2025-03-17T00:00:00"/>
    <n v="13761.441959999998"/>
    <n v="13485.661959999998"/>
    <n v="275.77999999999997"/>
    <x v="11"/>
  </r>
  <r>
    <s v="CUST007"/>
    <s v="David Brown"/>
    <x v="0"/>
    <x v="1"/>
    <n v="1493.49"/>
    <n v="18"/>
    <n v="0"/>
    <d v="2025-03-18T00:00:00"/>
    <n v="26882.82"/>
    <n v="26136.079999999998"/>
    <n v="746.74"/>
    <x v="11"/>
  </r>
  <r>
    <s v="CUST009"/>
    <s v="Linda Taylor"/>
    <x v="2"/>
    <x v="1"/>
    <n v="689.43"/>
    <n v="9"/>
    <n v="0.1"/>
    <d v="2025-03-20T00:00:00"/>
    <n v="6198.6651300000003"/>
    <n v="5888.4251300000005"/>
    <n v="310.24"/>
    <x v="11"/>
  </r>
  <r>
    <s v="CUST023"/>
    <s v="Mary Wilson"/>
    <x v="2"/>
    <x v="1"/>
    <n v="682.24"/>
    <n v="1"/>
    <n v="0"/>
    <d v="2025-03-22T00:00:00"/>
    <n v="682.24"/>
    <n v="341.12"/>
    <n v="341.12"/>
    <x v="11"/>
  </r>
  <r>
    <s v="CUST029"/>
    <s v="Michael Anderson"/>
    <x v="3"/>
    <x v="2"/>
    <n v="458.54"/>
    <n v="15"/>
    <n v="0.2"/>
    <d v="2025-03-25T00:00:00"/>
    <n v="6864.3438000000006"/>
    <n v="6772.6338000000005"/>
    <n v="91.71"/>
    <x v="11"/>
  </r>
  <r>
    <s v="CUST009"/>
    <s v="Michael Anderson"/>
    <x v="2"/>
    <x v="3"/>
    <n v="1184.25"/>
    <n v="11"/>
    <n v="0.2"/>
    <d v="2025-03-26T00:00:00"/>
    <n v="13000.6965"/>
    <n v="12669.1065"/>
    <n v="331.59"/>
    <x v="11"/>
  </r>
  <r>
    <s v="CUST007"/>
    <s v="James Davis"/>
    <x v="2"/>
    <x v="1"/>
    <n v="762.14"/>
    <n v="9"/>
    <n v="0"/>
    <d v="2025-03-27T00:00:00"/>
    <n v="6859.26"/>
    <n v="6478.1900000000005"/>
    <n v="381.07"/>
    <x v="11"/>
  </r>
  <r>
    <s v="CUST030"/>
    <s v="Linda Taylor"/>
    <x v="3"/>
    <x v="0"/>
    <n v="750.71"/>
    <n v="10"/>
    <n v="0.15"/>
    <d v="2025-03-27T00:00:00"/>
    <n v="7495.8393500000002"/>
    <n v="7240.5993500000004"/>
    <n v="255.24"/>
    <x v="11"/>
  </r>
  <r>
    <s v="CUST018"/>
    <s v="David Anderson"/>
    <x v="4"/>
    <x v="1"/>
    <n v="1456.94"/>
    <n v="14"/>
    <n v="0.05"/>
    <d v="2025-03-29T00:00:00"/>
    <n v="20386.96142"/>
    <n v="19694.91142"/>
    <n v="692.05"/>
    <x v="11"/>
  </r>
  <r>
    <s v="CUST008"/>
    <s v="Emma Wilson"/>
    <x v="1"/>
    <x v="3"/>
    <n v="1093.3800000000001"/>
    <n v="17"/>
    <n v="0.1"/>
    <d v="2025-03-29T00:00:00"/>
    <n v="18568.872540000004"/>
    <n v="18224.462540000004"/>
    <n v="344.41"/>
    <x v="11"/>
  </r>
  <r>
    <s v="CUST014"/>
    <s v="Sarah Anderson"/>
    <x v="0"/>
    <x v="1"/>
    <n v="934.27"/>
    <n v="8"/>
    <n v="0.15"/>
    <d v="2025-03-30T00:00:00"/>
    <n v="7462.9487600000002"/>
    <n v="7065.8887599999998"/>
    <n v="397.06"/>
    <x v="11"/>
  </r>
  <r>
    <s v="CUST024"/>
    <s v="David Thomas"/>
    <x v="4"/>
    <x v="1"/>
    <n v="1465.35"/>
    <n v="8"/>
    <n v="0.2"/>
    <d v="2025-03-30T00:00:00"/>
    <n v="11699.3544"/>
    <n v="11113.214400000001"/>
    <n v="586.14"/>
    <x v="11"/>
  </r>
  <r>
    <s v="CUST028"/>
    <s v="Robert Anderson"/>
    <x v="2"/>
    <x v="4"/>
    <n v="740.8"/>
    <n v="3"/>
    <n v="0"/>
    <d v="2025-04-02T00:00:00"/>
    <n v="2222.3999999999996"/>
    <n v="1889.0399999999995"/>
    <n v="333.36"/>
    <x v="12"/>
  </r>
  <r>
    <s v="CUST015"/>
    <s v="Sarah Anderson"/>
    <x v="0"/>
    <x v="4"/>
    <n v="545.44000000000005"/>
    <n v="17"/>
    <n v="0"/>
    <d v="2025-04-05T00:00:00"/>
    <n v="9272.4800000000014"/>
    <n v="9027.0300000000007"/>
    <n v="245.45"/>
    <x v="12"/>
  </r>
  <r>
    <s v="CUST010"/>
    <s v="David Thomas"/>
    <x v="1"/>
    <x v="0"/>
    <n v="997.61"/>
    <n v="8"/>
    <n v="0.05"/>
    <d v="2025-04-05T00:00:00"/>
    <n v="7976.8895600000005"/>
    <n v="7597.7995600000004"/>
    <n v="379.09"/>
    <x v="12"/>
  </r>
  <r>
    <s v="CUST016"/>
    <s v="David Thomas"/>
    <x v="2"/>
    <x v="1"/>
    <n v="928.32"/>
    <n v="2"/>
    <n v="0.05"/>
    <d v="2025-04-07T00:00:00"/>
    <n v="1855.7116800000001"/>
    <n v="1414.7616800000001"/>
    <n v="440.95"/>
    <x v="12"/>
  </r>
  <r>
    <m/>
    <m/>
    <x v="5"/>
    <x v="5"/>
    <m/>
    <m/>
    <m/>
    <m/>
    <m/>
    <m/>
    <m/>
    <x v="13"/>
  </r>
  <r>
    <m/>
    <m/>
    <x v="5"/>
    <x v="5"/>
    <m/>
    <m/>
    <m/>
    <m/>
    <m/>
    <m/>
    <m/>
    <x v="13"/>
  </r>
  <r>
    <m/>
    <m/>
    <x v="5"/>
    <x v="5"/>
    <m/>
    <m/>
    <m/>
    <m/>
    <m/>
    <m/>
    <m/>
    <x v="13"/>
  </r>
  <r>
    <m/>
    <m/>
    <x v="5"/>
    <x v="5"/>
    <m/>
    <m/>
    <m/>
    <m/>
    <m/>
    <m/>
    <m/>
    <x v="13"/>
  </r>
  <r>
    <m/>
    <m/>
    <x v="5"/>
    <x v="5"/>
    <m/>
    <m/>
    <m/>
    <m/>
    <m/>
    <m/>
    <m/>
    <x v="13"/>
  </r>
  <r>
    <m/>
    <m/>
    <x v="5"/>
    <x v="5"/>
    <m/>
    <m/>
    <m/>
    <m/>
    <m/>
    <m/>
    <m/>
    <x v="13"/>
  </r>
  <r>
    <m/>
    <m/>
    <x v="5"/>
    <x v="5"/>
    <m/>
    <m/>
    <m/>
    <m/>
    <m/>
    <m/>
    <m/>
    <x v="13"/>
  </r>
  <r>
    <m/>
    <m/>
    <x v="5"/>
    <x v="5"/>
    <m/>
    <m/>
    <m/>
    <m/>
    <m/>
    <m/>
    <m/>
    <x v="1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8">
  <r>
    <s v="CUST019"/>
    <x v="0"/>
    <x v="0"/>
    <x v="0"/>
    <n v="1036.0899999999999"/>
    <n v="4"/>
    <n v="0.2"/>
    <x v="0"/>
    <n v="4136.0712800000001"/>
    <n v="3804.5212799999999"/>
    <n v="331.55"/>
    <s v="Apr-2024"/>
    <d v="2026-04-22T15:47:18"/>
  </r>
  <r>
    <s v="CUST012"/>
    <x v="1"/>
    <x v="0"/>
    <x v="1"/>
    <n v="1101.28"/>
    <n v="3"/>
    <n v="0.2"/>
    <x v="1"/>
    <n v="3297.2323200000001"/>
    <n v="2856.7223199999999"/>
    <n v="440.51"/>
    <s v="Apr-2024"/>
    <d v="2026-04-22T15:47:18"/>
  </r>
  <r>
    <s v="CUST017"/>
    <x v="2"/>
    <x v="1"/>
    <x v="0"/>
    <n v="713.34"/>
    <n v="17"/>
    <n v="0"/>
    <x v="2"/>
    <n v="12126.78"/>
    <n v="11841.44"/>
    <n v="285.33999999999997"/>
    <s v="Apr-2024"/>
    <d v="2026-04-22T15:47:18"/>
  </r>
  <r>
    <s v="CUST005"/>
    <x v="1"/>
    <x v="2"/>
    <x v="2"/>
    <n v="760.93"/>
    <n v="4"/>
    <n v="0.15"/>
    <x v="2"/>
    <n v="3039.1544199999998"/>
    <n v="2877.45442"/>
    <n v="161.69999999999999"/>
    <s v="Apr-2024"/>
    <d v="2026-04-22T15:47:18"/>
  </r>
  <r>
    <s v="CUST030"/>
    <x v="3"/>
    <x v="3"/>
    <x v="0"/>
    <n v="847"/>
    <n v="12"/>
    <n v="0.2"/>
    <x v="3"/>
    <n v="10143.672"/>
    <n v="9872.6319999999996"/>
    <n v="271.04000000000002"/>
    <s v="Apr-2024"/>
    <d v="2026-04-22T15:47:18"/>
  </r>
  <r>
    <s v="CUST007"/>
    <x v="4"/>
    <x v="3"/>
    <x v="3"/>
    <n v="965.64"/>
    <n v="8"/>
    <n v="0.1"/>
    <x v="4"/>
    <n v="7717.3948799999998"/>
    <n v="7413.2148799999995"/>
    <n v="304.18"/>
    <s v="Apr-2024"/>
    <d v="2026-04-22T15:47:18"/>
  </r>
  <r>
    <s v="CUST001"/>
    <x v="5"/>
    <x v="0"/>
    <x v="2"/>
    <n v="1317.53"/>
    <n v="12"/>
    <n v="0.05"/>
    <x v="4"/>
    <n v="15802.454820000001"/>
    <n v="15489.544820000001"/>
    <n v="312.91000000000003"/>
    <s v="Apr-2024"/>
    <d v="2026-04-22T15:47:18"/>
  </r>
  <r>
    <s v="CUST026"/>
    <x v="6"/>
    <x v="1"/>
    <x v="3"/>
    <n v="1074.47"/>
    <n v="6"/>
    <n v="0.2"/>
    <x v="5"/>
    <n v="6433.9263599999995"/>
    <n v="6133.0763599999991"/>
    <n v="300.85000000000002"/>
    <s v="Apr-2024"/>
    <d v="2026-04-22T15:47:18"/>
  </r>
  <r>
    <s v="CUST009"/>
    <x v="7"/>
    <x v="4"/>
    <x v="0"/>
    <n v="501.54"/>
    <n v="11"/>
    <n v="0.05"/>
    <x v="5"/>
    <n v="5514.1815300000007"/>
    <n v="5323.5915300000006"/>
    <n v="190.59"/>
    <s v="Apr-2024"/>
    <d v="2026-04-22T15:47:18"/>
  </r>
  <r>
    <s v="CUST010"/>
    <x v="8"/>
    <x v="4"/>
    <x v="1"/>
    <n v="737.31"/>
    <n v="2"/>
    <n v="0.05"/>
    <x v="5"/>
    <n v="1473.8826899999999"/>
    <n v="1123.6626899999999"/>
    <n v="350.22"/>
    <s v="Apr-2024"/>
    <d v="2026-04-22T15:47:18"/>
  </r>
  <r>
    <s v="CUST014"/>
    <x v="9"/>
    <x v="0"/>
    <x v="4"/>
    <n v="1572.82"/>
    <n v="6"/>
    <n v="0.05"/>
    <x v="6"/>
    <n v="9432.20154"/>
    <n v="8759.8215400000008"/>
    <n v="672.38"/>
    <s v="Apr-2024"/>
    <d v="2026-04-22T15:47:18"/>
  </r>
  <r>
    <s v="CUST014"/>
    <x v="8"/>
    <x v="4"/>
    <x v="0"/>
    <n v="1343.13"/>
    <n v="14"/>
    <n v="0.15"/>
    <x v="7"/>
    <n v="18775.614269999998"/>
    <n v="18318.954269999998"/>
    <n v="456.66"/>
    <s v="Apr-2024"/>
    <d v="2026-04-22T15:47:18"/>
  </r>
  <r>
    <s v="CUST007"/>
    <x v="4"/>
    <x v="4"/>
    <x v="0"/>
    <n v="1191.58"/>
    <n v="14"/>
    <n v="0.05"/>
    <x v="8"/>
    <n v="16673.77894"/>
    <n v="16220.978940000001"/>
    <n v="452.8"/>
    <s v="Apr-2024"/>
    <d v="2026-04-22T15:47:18"/>
  </r>
  <r>
    <s v="CUST023"/>
    <x v="1"/>
    <x v="0"/>
    <x v="3"/>
    <n v="822.28"/>
    <n v="7"/>
    <n v="0.05"/>
    <x v="8"/>
    <n v="5753.0820199999998"/>
    <n v="5479.67202"/>
    <n v="273.41000000000003"/>
    <s v="Apr-2024"/>
    <d v="2026-04-22T15:47:18"/>
  </r>
  <r>
    <s v="CUST029"/>
    <x v="10"/>
    <x v="3"/>
    <x v="3"/>
    <n v="521.66999999999996"/>
    <n v="15"/>
    <n v="0.15"/>
    <x v="9"/>
    <n v="7813.3124249999992"/>
    <n v="7658.1124249999993"/>
    <n v="155.19999999999999"/>
    <s v="Apr-2024"/>
    <d v="2026-04-22T15:47:18"/>
  </r>
  <r>
    <s v="CUST005"/>
    <x v="11"/>
    <x v="2"/>
    <x v="2"/>
    <n v="1502.93"/>
    <n v="14"/>
    <n v="0.2"/>
    <x v="10"/>
    <n v="20998.937959999999"/>
    <n v="20698.347959999999"/>
    <n v="300.58999999999997"/>
    <s v="Apr-2024"/>
    <d v="2026-04-22T15:47:18"/>
  </r>
  <r>
    <s v="CUST008"/>
    <x v="1"/>
    <x v="2"/>
    <x v="0"/>
    <n v="877.58"/>
    <n v="10"/>
    <n v="0.15"/>
    <x v="11"/>
    <n v="8762.6363000000019"/>
    <n v="8464.2563000000027"/>
    <n v="298.38"/>
    <s v="Apr-2024"/>
    <d v="2026-04-22T15:47:18"/>
  </r>
  <r>
    <s v="CUST001"/>
    <x v="12"/>
    <x v="0"/>
    <x v="0"/>
    <n v="636.70000000000005"/>
    <n v="4"/>
    <n v="0.2"/>
    <x v="11"/>
    <n v="2541.7064"/>
    <n v="2337.9664000000002"/>
    <n v="203.74"/>
    <s v="Apr-2024"/>
    <d v="2026-04-22T15:47:18"/>
  </r>
  <r>
    <s v="CUST006"/>
    <x v="13"/>
    <x v="0"/>
    <x v="0"/>
    <n v="1506.14"/>
    <n v="13"/>
    <n v="0.2"/>
    <x v="12"/>
    <n v="19540.660359999998"/>
    <n v="19058.700359999999"/>
    <n v="481.96"/>
    <s v="Apr-2024"/>
    <d v="2026-04-22T15:47:18"/>
  </r>
  <r>
    <s v="CUST026"/>
    <x v="6"/>
    <x v="4"/>
    <x v="2"/>
    <n v="645.02"/>
    <n v="4"/>
    <n v="0"/>
    <x v="13"/>
    <n v="2580.08"/>
    <n v="2418.8199999999997"/>
    <n v="161.26"/>
    <s v="May-2024"/>
    <d v="2026-04-22T15:47:18"/>
  </r>
  <r>
    <s v="CUST007"/>
    <x v="14"/>
    <x v="2"/>
    <x v="1"/>
    <n v="953.3"/>
    <n v="11"/>
    <n v="0"/>
    <x v="14"/>
    <n v="10486.3"/>
    <n v="10009.65"/>
    <n v="476.65"/>
    <s v="May-2024"/>
    <d v="2026-04-22T15:47:18"/>
  </r>
  <r>
    <s v="CUST022"/>
    <x v="1"/>
    <x v="3"/>
    <x v="2"/>
    <n v="388.56"/>
    <n v="14"/>
    <n v="0.15"/>
    <x v="15"/>
    <n v="5431.6802400000006"/>
    <n v="5349.1102400000009"/>
    <n v="82.57"/>
    <s v="May-2024"/>
    <d v="2026-04-22T15:47:18"/>
  </r>
  <r>
    <s v="CUST019"/>
    <x v="6"/>
    <x v="0"/>
    <x v="0"/>
    <n v="743.17"/>
    <n v="9"/>
    <n v="0"/>
    <x v="15"/>
    <n v="6688.53"/>
    <n v="6391.26"/>
    <n v="297.27"/>
    <s v="May-2024"/>
    <d v="2026-04-22T15:47:18"/>
  </r>
  <r>
    <s v="CUST023"/>
    <x v="6"/>
    <x v="4"/>
    <x v="2"/>
    <n v="706.37"/>
    <n v="6"/>
    <n v="0"/>
    <x v="15"/>
    <n v="4238.22"/>
    <n v="4061.63"/>
    <n v="176.59"/>
    <s v="May-2024"/>
    <d v="2026-04-22T15:47:18"/>
  </r>
  <r>
    <s v="CUST012"/>
    <x v="6"/>
    <x v="4"/>
    <x v="4"/>
    <n v="925.31"/>
    <n v="8"/>
    <n v="0.1"/>
    <x v="16"/>
    <n v="7395.0775199999998"/>
    <n v="7020.3275199999998"/>
    <n v="374.75"/>
    <s v="May-2024"/>
    <d v="2026-04-22T15:47:18"/>
  </r>
  <r>
    <s v="CUST010"/>
    <x v="15"/>
    <x v="2"/>
    <x v="2"/>
    <n v="1173.1199999999999"/>
    <n v="18"/>
    <n v="0"/>
    <x v="16"/>
    <n v="21116.159999999996"/>
    <n v="20822.879999999997"/>
    <n v="293.27999999999997"/>
    <s v="May-2024"/>
    <d v="2026-04-22T15:47:18"/>
  </r>
  <r>
    <s v="CUST030"/>
    <x v="16"/>
    <x v="3"/>
    <x v="3"/>
    <n v="675.54"/>
    <n v="17"/>
    <n v="0"/>
    <x v="17"/>
    <n v="11484.18"/>
    <n v="11247.74"/>
    <n v="236.44"/>
    <s v="May-2024"/>
    <d v="2026-04-22T15:47:18"/>
  </r>
  <r>
    <s v="CUST007"/>
    <x v="1"/>
    <x v="4"/>
    <x v="0"/>
    <n v="939.09"/>
    <n v="2"/>
    <n v="0.05"/>
    <x v="18"/>
    <n v="1877.24091"/>
    <n v="1520.3909100000001"/>
    <n v="356.85"/>
    <s v="May-2024"/>
    <d v="2026-04-22T15:47:18"/>
  </r>
  <r>
    <s v="CUST028"/>
    <x v="17"/>
    <x v="1"/>
    <x v="4"/>
    <n v="983.34"/>
    <n v="19"/>
    <n v="0.1"/>
    <x v="19"/>
    <n v="18664.776539999999"/>
    <n v="18266.526539999999"/>
    <n v="398.25"/>
    <s v="May-2024"/>
    <d v="2026-04-22T15:47:18"/>
  </r>
  <r>
    <s v="CUST028"/>
    <x v="3"/>
    <x v="2"/>
    <x v="2"/>
    <n v="801.21"/>
    <n v="3"/>
    <n v="0.2"/>
    <x v="19"/>
    <n v="2398.8227400000001"/>
    <n v="2238.5827399999998"/>
    <n v="160.24"/>
    <s v="May-2024"/>
    <d v="2026-04-22T15:47:18"/>
  </r>
  <r>
    <s v="CUST025"/>
    <x v="18"/>
    <x v="3"/>
    <x v="2"/>
    <n v="1450.71"/>
    <n v="5"/>
    <n v="0.1"/>
    <x v="20"/>
    <n v="7246.2964499999998"/>
    <n v="6919.88645"/>
    <n v="326.41000000000003"/>
    <s v="May-2024"/>
    <d v="2026-04-22T15:47:18"/>
  </r>
  <r>
    <s v="CUST022"/>
    <x v="19"/>
    <x v="4"/>
    <x v="0"/>
    <n v="1023.21"/>
    <n v="18"/>
    <n v="0.05"/>
    <x v="21"/>
    <n v="18408.571109999997"/>
    <n v="18019.751109999997"/>
    <n v="388.82"/>
    <s v="May-2024"/>
    <d v="2026-04-22T15:47:18"/>
  </r>
  <r>
    <s v="CUST001"/>
    <x v="13"/>
    <x v="0"/>
    <x v="3"/>
    <n v="853.72"/>
    <n v="5"/>
    <n v="0.15"/>
    <x v="21"/>
    <n v="4262.1971000000003"/>
    <n v="4008.2171000000003"/>
    <n v="253.98"/>
    <s v="May-2024"/>
    <d v="2026-04-22T15:47:18"/>
  </r>
  <r>
    <s v="CUST021"/>
    <x v="11"/>
    <x v="2"/>
    <x v="2"/>
    <n v="967.89"/>
    <n v="10"/>
    <n v="0.1"/>
    <x v="22"/>
    <n v="9669.2210999999988"/>
    <n v="9451.4410999999982"/>
    <n v="217.78"/>
    <s v="May-2024"/>
    <d v="2026-04-22T15:47:18"/>
  </r>
  <r>
    <s v="CUST015"/>
    <x v="17"/>
    <x v="3"/>
    <x v="4"/>
    <n v="1200.9000000000001"/>
    <n v="14"/>
    <n v="0.05"/>
    <x v="22"/>
    <n v="16804.193700000003"/>
    <n v="16290.813700000004"/>
    <n v="513.38"/>
    <s v="May-2024"/>
    <d v="2026-04-22T15:47:18"/>
  </r>
  <r>
    <s v="CUST012"/>
    <x v="4"/>
    <x v="0"/>
    <x v="0"/>
    <n v="472.38"/>
    <n v="12"/>
    <n v="0.2"/>
    <x v="22"/>
    <n v="5657.2228799999993"/>
    <n v="5506.0628799999995"/>
    <n v="151.16"/>
    <s v="May-2024"/>
    <d v="2026-04-22T15:47:18"/>
  </r>
  <r>
    <s v="CUST019"/>
    <x v="18"/>
    <x v="1"/>
    <x v="4"/>
    <n v="840.92"/>
    <n v="9"/>
    <n v="0.05"/>
    <x v="22"/>
    <n v="7564.49586"/>
    <n v="7205.0058600000002"/>
    <n v="359.49"/>
    <s v="May-2024"/>
    <d v="2026-04-22T15:47:18"/>
  </r>
  <r>
    <s v="CUST028"/>
    <x v="14"/>
    <x v="4"/>
    <x v="3"/>
    <n v="1410.06"/>
    <n v="11"/>
    <n v="0.05"/>
    <x v="23"/>
    <n v="15502.90467"/>
    <n v="15034.06467"/>
    <n v="468.84"/>
    <s v="May-2024"/>
    <d v="2026-04-22T15:47:18"/>
  </r>
  <r>
    <s v="CUST008"/>
    <x v="20"/>
    <x v="4"/>
    <x v="3"/>
    <n v="773.09"/>
    <n v="13"/>
    <n v="0.15"/>
    <x v="23"/>
    <n v="10035.094745"/>
    <n v="9805.1047450000005"/>
    <n v="229.99"/>
    <s v="May-2024"/>
    <d v="2026-04-22T15:47:18"/>
  </r>
  <r>
    <s v="CUST016"/>
    <x v="21"/>
    <x v="1"/>
    <x v="0"/>
    <n v="580.42999999999995"/>
    <n v="19"/>
    <n v="0.15"/>
    <x v="24"/>
    <n v="11011.627744999998"/>
    <n v="10814.277744999998"/>
    <n v="197.35"/>
    <s v="May-2024"/>
    <d v="2026-04-22T15:47:18"/>
  </r>
  <r>
    <s v="CUST005"/>
    <x v="10"/>
    <x v="2"/>
    <x v="0"/>
    <n v="1151.21"/>
    <n v="15"/>
    <n v="0.1"/>
    <x v="25"/>
    <n v="17250.881850000002"/>
    <n v="16836.441850000003"/>
    <n v="414.44"/>
    <s v="Jun-2024"/>
    <d v="2026-04-22T15:47:18"/>
  </r>
  <r>
    <s v="CUST028"/>
    <x v="3"/>
    <x v="4"/>
    <x v="4"/>
    <n v="1025.98"/>
    <n v="5"/>
    <n v="0.2"/>
    <x v="26"/>
    <n v="5119.6401999999998"/>
    <n v="4750.2901999999995"/>
    <n v="369.35"/>
    <s v="Jun-2024"/>
    <d v="2026-04-22T15:47:18"/>
  </r>
  <r>
    <s v="CUST023"/>
    <x v="19"/>
    <x v="1"/>
    <x v="4"/>
    <n v="556.41999999999996"/>
    <n v="11"/>
    <n v="0.15"/>
    <x v="26"/>
    <n v="6111.4390699999994"/>
    <n v="5898.6090699999995"/>
    <n v="212.83"/>
    <s v="Jun-2024"/>
    <d v="2026-04-22T15:47:18"/>
  </r>
  <r>
    <s v="CUST021"/>
    <x v="3"/>
    <x v="4"/>
    <x v="0"/>
    <n v="840.85"/>
    <n v="19"/>
    <n v="0.1"/>
    <x v="27"/>
    <n v="15960.173849999999"/>
    <n v="15657.46385"/>
    <n v="302.70999999999998"/>
    <s v="Jun-2024"/>
    <d v="2026-04-22T15:47:18"/>
  </r>
  <r>
    <s v="CUST026"/>
    <x v="21"/>
    <x v="3"/>
    <x v="3"/>
    <n v="1227.25"/>
    <n v="12"/>
    <n v="0.15"/>
    <x v="27"/>
    <n v="14704.9095"/>
    <n v="14339.799499999999"/>
    <n v="365.11"/>
    <s v="Jun-2024"/>
    <d v="2026-04-22T15:47:18"/>
  </r>
  <r>
    <s v="CUST017"/>
    <x v="22"/>
    <x v="4"/>
    <x v="2"/>
    <n v="856.7"/>
    <n v="2"/>
    <n v="0"/>
    <x v="28"/>
    <n v="1713.4"/>
    <n v="1499.22"/>
    <n v="214.18"/>
    <s v="Jun-2024"/>
    <d v="2026-04-22T15:47:18"/>
  </r>
  <r>
    <s v="CUST025"/>
    <x v="19"/>
    <x v="4"/>
    <x v="4"/>
    <n v="1225.42"/>
    <n v="8"/>
    <n v="0.15"/>
    <x v="28"/>
    <n v="9788.6549599999998"/>
    <n v="9319.9349600000005"/>
    <n v="468.72"/>
    <s v="Jun-2024"/>
    <d v="2026-04-22T15:47:18"/>
  </r>
  <r>
    <s v="CUST011"/>
    <x v="6"/>
    <x v="3"/>
    <x v="4"/>
    <n v="1001.57"/>
    <n v="12"/>
    <n v="0"/>
    <x v="29"/>
    <n v="12018.84"/>
    <n v="11568.130000000001"/>
    <n v="450.71"/>
    <s v="Jun-2024"/>
    <d v="2026-04-22T15:47:18"/>
  </r>
  <r>
    <s v="CUST021"/>
    <x v="4"/>
    <x v="1"/>
    <x v="3"/>
    <n v="1186.8499999999999"/>
    <n v="19"/>
    <n v="0.2"/>
    <x v="30"/>
    <n v="22505.0497"/>
    <n v="22172.7297"/>
    <n v="332.32"/>
    <s v="Jun-2024"/>
    <d v="2026-04-22T15:47:18"/>
  </r>
  <r>
    <s v="CUST008"/>
    <x v="16"/>
    <x v="2"/>
    <x v="2"/>
    <n v="775.45"/>
    <n v="6"/>
    <n v="0.1"/>
    <x v="31"/>
    <n v="4648.0473000000011"/>
    <n v="4473.5673000000015"/>
    <n v="174.48"/>
    <s v="Jun-2024"/>
    <d v="2026-04-22T15:47:18"/>
  </r>
  <r>
    <s v="CUST007"/>
    <x v="7"/>
    <x v="2"/>
    <x v="2"/>
    <n v="1021.47"/>
    <n v="6"/>
    <n v="0.05"/>
    <x v="32"/>
    <n v="6125.7555899999998"/>
    <n v="5883.1555899999994"/>
    <n v="242.6"/>
    <s v="Jun-2024"/>
    <d v="2026-04-22T15:47:18"/>
  </r>
  <r>
    <s v="CUST015"/>
    <x v="3"/>
    <x v="2"/>
    <x v="1"/>
    <n v="1226.6199999999999"/>
    <n v="7"/>
    <n v="0.1"/>
    <x v="33"/>
    <n v="8577.7536600000003"/>
    <n v="8025.7736600000007"/>
    <n v="551.98"/>
    <s v="Jun-2024"/>
    <d v="2026-04-22T15:47:18"/>
  </r>
  <r>
    <s v="CUST030"/>
    <x v="23"/>
    <x v="2"/>
    <x v="3"/>
    <n v="1086.93"/>
    <n v="2"/>
    <n v="0"/>
    <x v="34"/>
    <n v="2173.86"/>
    <n v="1793.43"/>
    <n v="380.43"/>
    <s v="Jun-2024"/>
    <d v="2026-04-22T15:47:18"/>
  </r>
  <r>
    <s v="CUST002"/>
    <x v="14"/>
    <x v="0"/>
    <x v="0"/>
    <n v="942.9"/>
    <n v="18"/>
    <n v="0.1"/>
    <x v="35"/>
    <n v="16955.227800000001"/>
    <n v="16615.787800000002"/>
    <n v="339.44"/>
    <s v="Jun-2024"/>
    <d v="2026-04-22T15:47:18"/>
  </r>
  <r>
    <s v="CUST009"/>
    <x v="9"/>
    <x v="3"/>
    <x v="2"/>
    <n v="818.8"/>
    <n v="15"/>
    <n v="0.15"/>
    <x v="36"/>
    <n v="12263.576999999999"/>
    <n v="12089.587"/>
    <n v="173.99"/>
    <s v="Jun-2024"/>
    <d v="2026-04-22T15:47:18"/>
  </r>
  <r>
    <s v="CUST005"/>
    <x v="1"/>
    <x v="2"/>
    <x v="3"/>
    <n v="919.04"/>
    <n v="10"/>
    <n v="0.2"/>
    <x v="36"/>
    <n v="9172.0191999999988"/>
    <n v="8914.6891999999989"/>
    <n v="257.33"/>
    <s v="Jun-2024"/>
    <d v="2026-04-22T15:47:18"/>
  </r>
  <r>
    <s v="CUST030"/>
    <x v="24"/>
    <x v="4"/>
    <x v="0"/>
    <n v="973.26"/>
    <n v="11"/>
    <n v="0"/>
    <x v="37"/>
    <n v="10705.86"/>
    <n v="10316.560000000001"/>
    <n v="389.3"/>
    <s v="Jun-2024"/>
    <d v="2026-04-22T15:47:18"/>
  </r>
  <r>
    <s v="CUST029"/>
    <x v="23"/>
    <x v="3"/>
    <x v="2"/>
    <n v="741.61"/>
    <n v="1"/>
    <n v="0.2"/>
    <x v="38"/>
    <n v="740.12678000000005"/>
    <n v="591.80678000000012"/>
    <n v="148.32"/>
    <s v="Jun-2024"/>
    <d v="2026-04-22T15:47:18"/>
  </r>
  <r>
    <s v="CUST003"/>
    <x v="9"/>
    <x v="3"/>
    <x v="0"/>
    <n v="1248.82"/>
    <n v="2"/>
    <n v="0.1"/>
    <x v="39"/>
    <n v="2495.1423599999998"/>
    <n v="2045.5623599999999"/>
    <n v="449.58"/>
    <s v="Jun-2024"/>
    <d v="2026-04-22T15:47:18"/>
  </r>
  <r>
    <s v="CUST012"/>
    <x v="20"/>
    <x v="0"/>
    <x v="1"/>
    <n v="1360.36"/>
    <n v="17"/>
    <n v="0"/>
    <x v="39"/>
    <n v="23126.12"/>
    <n v="22445.94"/>
    <n v="680.18"/>
    <s v="Jun-2024"/>
    <d v="2026-04-22T15:47:18"/>
  </r>
  <r>
    <s v="CUST021"/>
    <x v="6"/>
    <x v="1"/>
    <x v="0"/>
    <n v="1383.3"/>
    <n v="8"/>
    <n v="0.1"/>
    <x v="40"/>
    <n v="11055.3336"/>
    <n v="10557.3436"/>
    <n v="497.99"/>
    <s v="Jul-2024"/>
    <d v="2026-04-22T15:47:18"/>
  </r>
  <r>
    <s v="CUST010"/>
    <x v="18"/>
    <x v="4"/>
    <x v="4"/>
    <n v="488.99"/>
    <n v="9"/>
    <n v="0"/>
    <x v="41"/>
    <n v="4400.91"/>
    <n v="4180.8599999999997"/>
    <n v="220.05"/>
    <s v="Jul-2024"/>
    <d v="2026-04-22T15:47:18"/>
  </r>
  <r>
    <s v="CUST026"/>
    <x v="6"/>
    <x v="1"/>
    <x v="3"/>
    <n v="933.71"/>
    <n v="17"/>
    <n v="0.1"/>
    <x v="42"/>
    <n v="15857.19693"/>
    <n v="15563.076929999999"/>
    <n v="294.12"/>
    <s v="Jul-2024"/>
    <d v="2026-04-22T15:47:18"/>
  </r>
  <r>
    <s v="CUST003"/>
    <x v="0"/>
    <x v="0"/>
    <x v="2"/>
    <n v="1005.53"/>
    <n v="17"/>
    <n v="0.2"/>
    <x v="42"/>
    <n v="17059.821979999997"/>
    <n v="16858.711979999996"/>
    <n v="201.11"/>
    <s v="Jul-2024"/>
    <d v="2026-04-22T15:47:18"/>
  </r>
  <r>
    <s v="CUST029"/>
    <x v="21"/>
    <x v="2"/>
    <x v="2"/>
    <n v="1100.0999999999999"/>
    <n v="5"/>
    <n v="0.05"/>
    <x v="43"/>
    <n v="5497.7497499999999"/>
    <n v="5236.4797500000004"/>
    <n v="261.27"/>
    <s v="Jul-2024"/>
    <d v="2026-04-22T15:47:18"/>
  </r>
  <r>
    <s v="CUST003"/>
    <x v="3"/>
    <x v="3"/>
    <x v="3"/>
    <n v="1034.7"/>
    <n v="15"/>
    <n v="0.15"/>
    <x v="44"/>
    <n v="15497.21925"/>
    <n v="15189.39925"/>
    <n v="307.82"/>
    <s v="Jul-2024"/>
    <d v="2026-04-22T15:47:18"/>
  </r>
  <r>
    <s v="CUST002"/>
    <x v="6"/>
    <x v="2"/>
    <x v="0"/>
    <n v="876.44"/>
    <n v="12"/>
    <n v="0.05"/>
    <x v="45"/>
    <n v="10512.021360000001"/>
    <n v="10178.971360000001"/>
    <n v="333.05"/>
    <s v="Jul-2024"/>
    <d v="2026-04-22T15:47:18"/>
  </r>
  <r>
    <s v="CUST020"/>
    <x v="18"/>
    <x v="0"/>
    <x v="3"/>
    <n v="1371.34"/>
    <n v="5"/>
    <n v="0.05"/>
    <x v="45"/>
    <n v="6853.2716499999997"/>
    <n v="6397.3016499999994"/>
    <n v="455.97"/>
    <s v="Jul-2024"/>
    <d v="2026-04-22T15:47:18"/>
  </r>
  <r>
    <s v="CUST021"/>
    <x v="13"/>
    <x v="3"/>
    <x v="2"/>
    <n v="1020.26"/>
    <n v="11"/>
    <n v="0.05"/>
    <x v="46"/>
    <n v="11217.24857"/>
    <n v="10974.93857"/>
    <n v="242.31"/>
    <s v="Jul-2024"/>
    <d v="2026-04-22T15:47:18"/>
  </r>
  <r>
    <s v="CUST008"/>
    <x v="0"/>
    <x v="4"/>
    <x v="4"/>
    <n v="804.81"/>
    <n v="1"/>
    <n v="0.05"/>
    <x v="47"/>
    <n v="804.4075949999999"/>
    <n v="460.3475949999999"/>
    <n v="344.06"/>
    <s v="Jul-2024"/>
    <d v="2026-04-22T15:47:18"/>
  </r>
  <r>
    <s v="CUST030"/>
    <x v="18"/>
    <x v="4"/>
    <x v="2"/>
    <n v="608.66"/>
    <n v="1"/>
    <n v="0.05"/>
    <x v="48"/>
    <n v="608.35566999999992"/>
    <n v="463.79566999999992"/>
    <n v="144.56"/>
    <s v="Jul-2024"/>
    <d v="2026-04-22T15:47:18"/>
  </r>
  <r>
    <s v="CUST020"/>
    <x v="25"/>
    <x v="2"/>
    <x v="4"/>
    <n v="981.2"/>
    <n v="19"/>
    <n v="0"/>
    <x v="49"/>
    <n v="18642.8"/>
    <n v="18201.259999999998"/>
    <n v="441.54"/>
    <s v="Jul-2024"/>
    <d v="2026-04-22T15:47:18"/>
  </r>
  <r>
    <s v="CUST024"/>
    <x v="18"/>
    <x v="1"/>
    <x v="2"/>
    <n v="539.77"/>
    <n v="10"/>
    <n v="0.15"/>
    <x v="50"/>
    <n v="5389.6034499999996"/>
    <n v="5274.9034499999998"/>
    <n v="114.7"/>
    <s v="Aug-2024"/>
    <d v="2026-04-22T15:47:18"/>
  </r>
  <r>
    <s v="CUST012"/>
    <x v="26"/>
    <x v="2"/>
    <x v="0"/>
    <n v="804.45"/>
    <n v="5"/>
    <n v="0.2"/>
    <x v="50"/>
    <n v="4014.2055"/>
    <n v="3756.7855"/>
    <n v="257.42"/>
    <s v="Aug-2024"/>
    <d v="2026-04-22T15:47:18"/>
  </r>
  <r>
    <s v="CUST024"/>
    <x v="9"/>
    <x v="0"/>
    <x v="2"/>
    <n v="1526.6"/>
    <n v="13"/>
    <n v="0.2"/>
    <x v="51"/>
    <n v="19806.108400000001"/>
    <n v="19500.788400000001"/>
    <n v="305.32"/>
    <s v="Aug-2024"/>
    <d v="2026-04-22T15:47:18"/>
  </r>
  <r>
    <s v="CUST012"/>
    <x v="5"/>
    <x v="0"/>
    <x v="2"/>
    <n v="1215.26"/>
    <n v="5"/>
    <n v="0.15"/>
    <x v="52"/>
    <n v="6067.1855500000001"/>
    <n v="5808.9455500000004"/>
    <n v="258.24"/>
    <s v="Aug-2024"/>
    <d v="2026-04-22T15:47:18"/>
  </r>
  <r>
    <s v="CUST005"/>
    <x v="17"/>
    <x v="4"/>
    <x v="3"/>
    <n v="1261.3399999999999"/>
    <n v="3"/>
    <n v="0"/>
    <x v="53"/>
    <n v="3784.0199999999995"/>
    <n v="3342.5499999999993"/>
    <n v="441.47"/>
    <s v="Aug-2024"/>
    <d v="2026-04-22T15:47:18"/>
  </r>
  <r>
    <s v="CUST004"/>
    <x v="12"/>
    <x v="3"/>
    <x v="3"/>
    <n v="518.07000000000005"/>
    <n v="7"/>
    <n v="0.05"/>
    <x v="54"/>
    <n v="3624.6767550000004"/>
    <n v="3452.4167550000002"/>
    <n v="172.26"/>
    <s v="Aug-2024"/>
    <d v="2026-04-22T15:47:18"/>
  </r>
  <r>
    <s v="CUST026"/>
    <x v="5"/>
    <x v="0"/>
    <x v="4"/>
    <n v="1111.3399999999999"/>
    <n v="1"/>
    <n v="0"/>
    <x v="55"/>
    <n v="1111.3399999999999"/>
    <n v="611.2399999999999"/>
    <n v="500.1"/>
    <s v="Aug-2024"/>
    <d v="2026-04-22T15:47:18"/>
  </r>
  <r>
    <s v="CUST030"/>
    <x v="6"/>
    <x v="1"/>
    <x v="1"/>
    <n v="1291.47"/>
    <n v="18"/>
    <n v="0.1"/>
    <x v="56"/>
    <n v="23223.213540000001"/>
    <n v="22642.053540000001"/>
    <n v="581.16"/>
    <s v="Aug-2024"/>
    <d v="2026-04-22T15:47:18"/>
  </r>
  <r>
    <s v="CUST007"/>
    <x v="18"/>
    <x v="3"/>
    <x v="0"/>
    <n v="679.71"/>
    <n v="19"/>
    <n v="0"/>
    <x v="57"/>
    <n v="12914.490000000002"/>
    <n v="12642.610000000002"/>
    <n v="271.88"/>
    <s v="Aug-2024"/>
    <d v="2026-04-22T15:47:18"/>
  </r>
  <r>
    <s v="CUST020"/>
    <x v="7"/>
    <x v="1"/>
    <x v="3"/>
    <n v="1143.69"/>
    <n v="17"/>
    <n v="0"/>
    <x v="57"/>
    <n v="19442.73"/>
    <n v="19042.439999999999"/>
    <n v="400.29"/>
    <s v="Aug-2024"/>
    <d v="2026-04-22T15:47:18"/>
  </r>
  <r>
    <s v="CUST028"/>
    <x v="15"/>
    <x v="4"/>
    <x v="2"/>
    <n v="790.08"/>
    <n v="7"/>
    <n v="0.1"/>
    <x v="58"/>
    <n v="5525.0294400000002"/>
    <n v="5347.2594399999998"/>
    <n v="177.77"/>
    <s v="Sep-2024"/>
    <d v="2026-04-22T15:47:18"/>
  </r>
  <r>
    <s v="CUST005"/>
    <x v="14"/>
    <x v="4"/>
    <x v="0"/>
    <n v="1070.68"/>
    <n v="7"/>
    <n v="0.05"/>
    <x v="58"/>
    <n v="7491.0126200000004"/>
    <n v="7084.1526200000008"/>
    <n v="406.86"/>
    <s v="Sep-2024"/>
    <d v="2026-04-22T15:47:18"/>
  </r>
  <r>
    <s v="CUST015"/>
    <x v="8"/>
    <x v="0"/>
    <x v="1"/>
    <n v="1168.8900000000001"/>
    <n v="4"/>
    <n v="0.1"/>
    <x v="59"/>
    <n v="4670.8844400000007"/>
    <n v="4144.8844400000007"/>
    <n v="526"/>
    <s v="Sep-2024"/>
    <d v="2026-04-22T15:47:18"/>
  </r>
  <r>
    <s v="CUST003"/>
    <x v="0"/>
    <x v="2"/>
    <x v="2"/>
    <n v="1335.87"/>
    <n v="17"/>
    <n v="0"/>
    <x v="59"/>
    <n v="22709.789999999997"/>
    <n v="22375.819999999996"/>
    <n v="333.97"/>
    <s v="Sep-2024"/>
    <d v="2026-04-22T15:47:18"/>
  </r>
  <r>
    <s v="CUST023"/>
    <x v="18"/>
    <x v="1"/>
    <x v="3"/>
    <n v="873.7"/>
    <n v="9"/>
    <n v="0"/>
    <x v="60"/>
    <n v="7863.3"/>
    <n v="7557.5"/>
    <n v="305.8"/>
    <s v="Sep-2024"/>
    <d v="2026-04-22T15:47:18"/>
  </r>
  <r>
    <s v="CUST004"/>
    <x v="23"/>
    <x v="0"/>
    <x v="4"/>
    <n v="1443.98"/>
    <n v="19"/>
    <n v="0"/>
    <x v="61"/>
    <n v="27435.62"/>
    <n v="26785.829999999998"/>
    <n v="649.79"/>
    <s v="Sep-2024"/>
    <d v="2026-04-22T15:47:18"/>
  </r>
  <r>
    <s v="CUST023"/>
    <x v="3"/>
    <x v="1"/>
    <x v="4"/>
    <n v="1154.33"/>
    <n v="11"/>
    <n v="0.15"/>
    <x v="62"/>
    <n v="12678.583554999999"/>
    <n v="12237.053554999999"/>
    <n v="441.53"/>
    <s v="Sep-2024"/>
    <d v="2026-04-22T15:47:18"/>
  </r>
  <r>
    <s v="CUST022"/>
    <x v="15"/>
    <x v="2"/>
    <x v="0"/>
    <n v="1264.49"/>
    <n v="16"/>
    <n v="0.05"/>
    <x v="62"/>
    <n v="20221.72408"/>
    <n v="19741.214080000002"/>
    <n v="480.51"/>
    <s v="Sep-2024"/>
    <d v="2026-04-22T15:47:18"/>
  </r>
  <r>
    <s v="CUST007"/>
    <x v="24"/>
    <x v="0"/>
    <x v="3"/>
    <n v="1101.55"/>
    <n v="4"/>
    <n v="0.1"/>
    <x v="63"/>
    <n v="4401.7937999999995"/>
    <n v="4054.8037999999997"/>
    <n v="346.99"/>
    <s v="Sep-2024"/>
    <d v="2026-04-22T15:47:18"/>
  </r>
  <r>
    <s v="CUST013"/>
    <x v="1"/>
    <x v="2"/>
    <x v="3"/>
    <n v="727.73"/>
    <n v="1"/>
    <n v="0.1"/>
    <x v="64"/>
    <n v="727.00227000000007"/>
    <n v="497.77227000000005"/>
    <n v="229.23"/>
    <s v="Sep-2024"/>
    <d v="2026-04-22T15:47:18"/>
  </r>
  <r>
    <s v="CUST027"/>
    <x v="9"/>
    <x v="1"/>
    <x v="4"/>
    <n v="875.41"/>
    <n v="13"/>
    <n v="0.15"/>
    <x v="64"/>
    <n v="11363.259505"/>
    <n v="11028.419505"/>
    <n v="334.84"/>
    <s v="Sep-2024"/>
    <d v="2026-04-22T15:47:18"/>
  </r>
  <r>
    <s v="CUST003"/>
    <x v="3"/>
    <x v="0"/>
    <x v="2"/>
    <n v="1158.94"/>
    <n v="19"/>
    <n v="0.2"/>
    <x v="65"/>
    <n v="21975.82028"/>
    <n v="21744.030279999999"/>
    <n v="231.79"/>
    <s v="Sep-2024"/>
    <d v="2026-04-22T15:47:18"/>
  </r>
  <r>
    <s v="CUST018"/>
    <x v="13"/>
    <x v="2"/>
    <x v="0"/>
    <n v="966.3"/>
    <n v="2"/>
    <n v="0.15"/>
    <x v="66"/>
    <n v="1929.7011"/>
    <n v="1601.1611"/>
    <n v="328.54"/>
    <s v="Sep-2024"/>
    <d v="2026-04-22T15:47:18"/>
  </r>
  <r>
    <s v="CUST020"/>
    <x v="2"/>
    <x v="2"/>
    <x v="0"/>
    <n v="917.48"/>
    <n v="6"/>
    <n v="0"/>
    <x v="67"/>
    <n v="5504.88"/>
    <n v="5137.8900000000003"/>
    <n v="366.99"/>
    <s v="Sep-2024"/>
    <d v="2026-04-22T15:47:18"/>
  </r>
  <r>
    <s v="CUST029"/>
    <x v="21"/>
    <x v="0"/>
    <x v="3"/>
    <n v="1172.97"/>
    <n v="7"/>
    <n v="0.15"/>
    <x v="68"/>
    <n v="8198.4738150000012"/>
    <n v="7849.5138150000012"/>
    <n v="348.96"/>
    <s v="Sep-2024"/>
    <d v="2026-04-22T15:47:18"/>
  </r>
  <r>
    <s v="CUST021"/>
    <x v="3"/>
    <x v="3"/>
    <x v="1"/>
    <n v="1205.82"/>
    <n v="11"/>
    <n v="0.1"/>
    <x v="68"/>
    <n v="13250.755979999998"/>
    <n v="12708.135979999997"/>
    <n v="542.62"/>
    <s v="Sep-2024"/>
    <d v="2026-04-22T15:47:18"/>
  </r>
  <r>
    <s v="CUST017"/>
    <x v="23"/>
    <x v="0"/>
    <x v="4"/>
    <n v="826.93"/>
    <n v="10"/>
    <n v="0.2"/>
    <x v="69"/>
    <n v="8252.7613999999994"/>
    <n v="7955.0713999999998"/>
    <n v="297.69"/>
    <s v="Sep-2024"/>
    <d v="2026-04-22T15:47:18"/>
  </r>
  <r>
    <s v="CUST003"/>
    <x v="3"/>
    <x v="4"/>
    <x v="1"/>
    <n v="902.19"/>
    <n v="12"/>
    <n v="0"/>
    <x v="69"/>
    <n v="10826.28"/>
    <n v="10375.18"/>
    <n v="451.1"/>
    <s v="Sep-2024"/>
    <d v="2026-04-22T15:47:18"/>
  </r>
  <r>
    <s v="CUST027"/>
    <x v="9"/>
    <x v="3"/>
    <x v="0"/>
    <n v="585.97"/>
    <n v="17"/>
    <n v="0.1"/>
    <x v="70"/>
    <n v="9951.5285100000001"/>
    <n v="9740.5785099999994"/>
    <n v="210.95"/>
    <s v="Sep-2024"/>
    <d v="2026-04-22T15:47:18"/>
  </r>
  <r>
    <s v="CUST016"/>
    <x v="4"/>
    <x v="3"/>
    <x v="1"/>
    <n v="990.19"/>
    <n v="8"/>
    <n v="0.1"/>
    <x v="70"/>
    <n v="7913.5984800000006"/>
    <n v="7468.0084800000004"/>
    <n v="445.59"/>
    <s v="Sep-2024"/>
    <d v="2026-04-22T15:47:18"/>
  </r>
  <r>
    <s v="CUST008"/>
    <x v="19"/>
    <x v="4"/>
    <x v="2"/>
    <n v="1014.09"/>
    <n v="13"/>
    <n v="0.2"/>
    <x v="71"/>
    <n v="13156.80366"/>
    <n v="12953.98366"/>
    <n v="202.82"/>
    <s v="Oct-2024"/>
    <d v="2026-04-22T15:47:18"/>
  </r>
  <r>
    <s v="CUST012"/>
    <x v="14"/>
    <x v="3"/>
    <x v="2"/>
    <n v="925.29"/>
    <n v="17"/>
    <n v="0"/>
    <x v="72"/>
    <n v="15729.93"/>
    <n v="15498.61"/>
    <n v="231.32"/>
    <s v="Oct-2024"/>
    <d v="2026-04-22T15:47:18"/>
  </r>
  <r>
    <s v="CUST025"/>
    <x v="13"/>
    <x v="1"/>
    <x v="3"/>
    <n v="1286.54"/>
    <n v="8"/>
    <n v="0"/>
    <x v="73"/>
    <n v="10292.32"/>
    <n v="9842.0299999999988"/>
    <n v="450.29"/>
    <s v="Oct-2024"/>
    <d v="2026-04-22T15:47:18"/>
  </r>
  <r>
    <s v="CUST014"/>
    <x v="23"/>
    <x v="2"/>
    <x v="0"/>
    <n v="961.62"/>
    <n v="8"/>
    <n v="0.2"/>
    <x v="74"/>
    <n v="7677.5740800000003"/>
    <n v="7369.8540800000001"/>
    <n v="307.72000000000003"/>
    <s v="Oct-2024"/>
    <d v="2026-04-22T15:47:18"/>
  </r>
  <r>
    <s v="CUST008"/>
    <x v="3"/>
    <x v="1"/>
    <x v="0"/>
    <n v="1081.1400000000001"/>
    <n v="19"/>
    <n v="0.15"/>
    <x v="74"/>
    <n v="20510.847510000003"/>
    <n v="20143.257510000003"/>
    <n v="367.59"/>
    <s v="Oct-2024"/>
    <d v="2026-04-22T15:47:18"/>
  </r>
  <r>
    <s v="CUST015"/>
    <x v="3"/>
    <x v="0"/>
    <x v="1"/>
    <n v="1923.66"/>
    <n v="9"/>
    <n v="0.2"/>
    <x v="75"/>
    <n v="17278.314120000003"/>
    <n v="16508.854120000004"/>
    <n v="769.46"/>
    <s v="Oct-2024"/>
    <d v="2026-04-22T15:47:18"/>
  </r>
  <r>
    <s v="CUST025"/>
    <x v="24"/>
    <x v="4"/>
    <x v="1"/>
    <n v="728.71"/>
    <n v="14"/>
    <n v="0.1"/>
    <x v="76"/>
    <n v="10191.73806"/>
    <n v="9863.8180599999996"/>
    <n v="327.92"/>
    <s v="Oct-2024"/>
    <d v="2026-04-22T15:47:18"/>
  </r>
  <r>
    <s v="CUST019"/>
    <x v="7"/>
    <x v="4"/>
    <x v="1"/>
    <n v="1301.8900000000001"/>
    <n v="7"/>
    <n v="0.15"/>
    <x v="76"/>
    <n v="9099.560155000001"/>
    <n v="8546.2601550000018"/>
    <n v="553.29999999999995"/>
    <s v="Oct-2024"/>
    <d v="2026-04-22T15:47:18"/>
  </r>
  <r>
    <s v="CUST024"/>
    <x v="24"/>
    <x v="1"/>
    <x v="0"/>
    <n v="980.18"/>
    <n v="16"/>
    <n v="0.1"/>
    <x v="77"/>
    <n v="15667.197119999999"/>
    <n v="15314.337119999998"/>
    <n v="352.86"/>
    <s v="Oct-2024"/>
    <d v="2026-04-22T15:47:18"/>
  </r>
  <r>
    <s v="CUST027"/>
    <x v="3"/>
    <x v="0"/>
    <x v="1"/>
    <n v="697.57"/>
    <n v="17"/>
    <n v="0.1"/>
    <x v="78"/>
    <n v="11846.831310000001"/>
    <n v="11532.921310000002"/>
    <n v="313.91000000000003"/>
    <s v="Oct-2024"/>
    <d v="2026-04-22T15:47:18"/>
  </r>
  <r>
    <s v="CUST006"/>
    <x v="26"/>
    <x v="0"/>
    <x v="3"/>
    <n v="1193.6099999999999"/>
    <n v="1"/>
    <n v="0.15"/>
    <x v="78"/>
    <n v="1191.819585"/>
    <n v="836.71958499999994"/>
    <n v="355.1"/>
    <s v="Oct-2024"/>
    <d v="2026-04-22T15:47:18"/>
  </r>
  <r>
    <s v="CUST009"/>
    <x v="9"/>
    <x v="2"/>
    <x v="2"/>
    <n v="771.02"/>
    <n v="1"/>
    <n v="0"/>
    <x v="79"/>
    <n v="771.02"/>
    <n v="578.26"/>
    <n v="192.76"/>
    <s v="Oct-2024"/>
    <d v="2026-04-22T15:47:18"/>
  </r>
  <r>
    <s v="CUST003"/>
    <x v="25"/>
    <x v="3"/>
    <x v="1"/>
    <n v="661.09"/>
    <n v="1"/>
    <n v="0.2"/>
    <x v="80"/>
    <n v="659.76782000000003"/>
    <n v="395.32782000000003"/>
    <n v="264.44"/>
    <s v="Oct-2024"/>
    <d v="2026-04-22T15:47:18"/>
  </r>
  <r>
    <s v="CUST012"/>
    <x v="18"/>
    <x v="0"/>
    <x v="2"/>
    <n v="688.83"/>
    <n v="15"/>
    <n v="0"/>
    <x v="81"/>
    <n v="10332.450000000001"/>
    <n v="10160.240000000002"/>
    <n v="172.21"/>
    <s v="Oct-2024"/>
    <d v="2026-04-22T15:47:18"/>
  </r>
  <r>
    <s v="CUST013"/>
    <x v="5"/>
    <x v="4"/>
    <x v="0"/>
    <n v="1249.0999999999999"/>
    <n v="4"/>
    <n v="0.05"/>
    <x v="82"/>
    <n v="4993.9017999999996"/>
    <n v="4519.2417999999998"/>
    <n v="474.66"/>
    <s v="Nov-2024"/>
    <d v="2026-04-22T15:47:18"/>
  </r>
  <r>
    <s v="CUST008"/>
    <x v="3"/>
    <x v="1"/>
    <x v="4"/>
    <n v="1014.22"/>
    <n v="14"/>
    <n v="0.05"/>
    <x v="83"/>
    <n v="14191.980460000001"/>
    <n v="13758.400460000001"/>
    <n v="433.58"/>
    <s v="Nov-2024"/>
    <d v="2026-04-22T15:47:18"/>
  </r>
  <r>
    <s v="CUST025"/>
    <x v="14"/>
    <x v="1"/>
    <x v="0"/>
    <n v="1010.58"/>
    <n v="2"/>
    <n v="0.15"/>
    <x v="84"/>
    <n v="2018.1282600000002"/>
    <n v="1674.52826"/>
    <n v="343.6"/>
    <s v="Nov-2024"/>
    <d v="2026-04-22T15:47:18"/>
  </r>
  <r>
    <s v="CUST026"/>
    <x v="20"/>
    <x v="3"/>
    <x v="3"/>
    <n v="957.29"/>
    <n v="4"/>
    <n v="0.05"/>
    <x v="84"/>
    <n v="3827.2454199999997"/>
    <n v="3508.9454199999996"/>
    <n v="318.3"/>
    <s v="Nov-2024"/>
    <d v="2026-04-22T15:47:18"/>
  </r>
  <r>
    <s v="CUST001"/>
    <x v="12"/>
    <x v="3"/>
    <x v="3"/>
    <n v="1077.92"/>
    <n v="3"/>
    <n v="0.05"/>
    <x v="85"/>
    <n v="3232.1431200000002"/>
    <n v="2873.7331200000003"/>
    <n v="358.41"/>
    <s v="Nov-2024"/>
    <d v="2026-04-22T15:47:18"/>
  </r>
  <r>
    <s v="CUST028"/>
    <x v="15"/>
    <x v="2"/>
    <x v="1"/>
    <n v="1163.01"/>
    <n v="5"/>
    <n v="0"/>
    <x v="86"/>
    <n v="5815.05"/>
    <n v="5233.55"/>
    <n v="581.5"/>
    <s v="Nov-2024"/>
    <d v="2026-04-22T15:47:18"/>
  </r>
  <r>
    <s v="CUST025"/>
    <x v="12"/>
    <x v="1"/>
    <x v="4"/>
    <n v="1014.56"/>
    <n v="10"/>
    <n v="0.1"/>
    <x v="87"/>
    <n v="10135.454399999999"/>
    <n v="9724.5543999999991"/>
    <n v="410.9"/>
    <s v="Nov-2024"/>
    <d v="2026-04-22T15:47:18"/>
  </r>
  <r>
    <s v="CUST019"/>
    <x v="2"/>
    <x v="2"/>
    <x v="2"/>
    <n v="718.04"/>
    <n v="14"/>
    <n v="0"/>
    <x v="88"/>
    <n v="10052.56"/>
    <n v="9873.0499999999993"/>
    <n v="179.51"/>
    <s v="Nov-2024"/>
    <d v="2026-04-22T15:47:18"/>
  </r>
  <r>
    <s v="CUST004"/>
    <x v="2"/>
    <x v="4"/>
    <x v="1"/>
    <n v="1277.8499999999999"/>
    <n v="18"/>
    <n v="0.2"/>
    <x v="88"/>
    <n v="22955.297399999999"/>
    <n v="22444.1574"/>
    <n v="511.14"/>
    <s v="Nov-2024"/>
    <d v="2026-04-22T15:47:18"/>
  </r>
  <r>
    <s v="CUST024"/>
    <x v="3"/>
    <x v="3"/>
    <x v="2"/>
    <n v="706.73"/>
    <n v="1"/>
    <n v="0.15"/>
    <x v="88"/>
    <n v="705.66990499999997"/>
    <n v="555.48990499999991"/>
    <n v="150.18"/>
    <s v="Nov-2024"/>
    <d v="2026-04-22T15:47:18"/>
  </r>
  <r>
    <s v="CUST002"/>
    <x v="15"/>
    <x v="1"/>
    <x v="2"/>
    <n v="1410.59"/>
    <n v="15"/>
    <n v="0"/>
    <x v="89"/>
    <n v="21158.85"/>
    <n v="20806.199999999997"/>
    <n v="352.65"/>
    <s v="Nov-2024"/>
    <d v="2026-04-22T15:47:18"/>
  </r>
  <r>
    <s v="CUST009"/>
    <x v="21"/>
    <x v="2"/>
    <x v="3"/>
    <n v="1350.33"/>
    <n v="10"/>
    <n v="0"/>
    <x v="89"/>
    <n v="13503.3"/>
    <n v="13030.679999999998"/>
    <n v="472.62"/>
    <s v="Nov-2024"/>
    <d v="2026-04-22T15:47:18"/>
  </r>
  <r>
    <s v="CUST029"/>
    <x v="12"/>
    <x v="1"/>
    <x v="2"/>
    <n v="919.18"/>
    <n v="4"/>
    <n v="0.15"/>
    <x v="89"/>
    <n v="3671.2049199999997"/>
    <n v="3475.8749199999997"/>
    <n v="195.33"/>
    <s v="Nov-2024"/>
    <d v="2026-04-22T15:47:18"/>
  </r>
  <r>
    <s v="CUST027"/>
    <x v="3"/>
    <x v="0"/>
    <x v="2"/>
    <n v="258.51"/>
    <n v="19"/>
    <n v="0"/>
    <x v="90"/>
    <n v="4911.6899999999996"/>
    <n v="4847.0599999999995"/>
    <n v="64.63"/>
    <s v="Nov-2024"/>
    <d v="2026-04-22T15:47:18"/>
  </r>
  <r>
    <s v="CUST011"/>
    <x v="21"/>
    <x v="1"/>
    <x v="0"/>
    <n v="1213.48"/>
    <n v="5"/>
    <n v="0.05"/>
    <x v="90"/>
    <n v="6064.3662999999997"/>
    <n v="5603.2462999999998"/>
    <n v="461.12"/>
    <s v="Nov-2024"/>
    <d v="2026-04-22T15:47:18"/>
  </r>
  <r>
    <s v="CUST021"/>
    <x v="9"/>
    <x v="4"/>
    <x v="0"/>
    <n v="1150.28"/>
    <n v="8"/>
    <n v="0.05"/>
    <x v="91"/>
    <n v="9197.6388800000004"/>
    <n v="8760.5288799999998"/>
    <n v="437.11"/>
    <s v="Nov-2024"/>
    <d v="2026-04-22T15:47:18"/>
  </r>
  <r>
    <s v="CUST014"/>
    <x v="26"/>
    <x v="2"/>
    <x v="3"/>
    <n v="853.86"/>
    <n v="8"/>
    <n v="0.1"/>
    <x v="91"/>
    <n v="6824.0491199999997"/>
    <n v="6555.0791199999994"/>
    <n v="268.97000000000003"/>
    <s v="Nov-2024"/>
    <d v="2026-04-22T15:47:18"/>
  </r>
  <r>
    <s v="CUST018"/>
    <x v="12"/>
    <x v="2"/>
    <x v="2"/>
    <n v="1061.04"/>
    <n v="1"/>
    <n v="0"/>
    <x v="92"/>
    <n v="1061.04"/>
    <n v="795.78"/>
    <n v="265.26"/>
    <s v="Nov-2024"/>
    <d v="2026-04-22T15:47:18"/>
  </r>
  <r>
    <s v="CUST001"/>
    <x v="11"/>
    <x v="0"/>
    <x v="2"/>
    <n v="894.55"/>
    <n v="19"/>
    <n v="0.2"/>
    <x v="93"/>
    <n v="16962.4571"/>
    <n v="16783.5471"/>
    <n v="178.91"/>
    <s v="Nov-2024"/>
    <d v="2026-04-22T15:47:18"/>
  </r>
  <r>
    <s v="CUST007"/>
    <x v="9"/>
    <x v="3"/>
    <x v="4"/>
    <n v="833.91"/>
    <n v="3"/>
    <n v="0.05"/>
    <x v="94"/>
    <n v="2500.479135"/>
    <n v="2143.979135"/>
    <n v="356.5"/>
    <s v="Nov-2024"/>
    <d v="2026-04-22T15:47:18"/>
  </r>
  <r>
    <s v="CUST015"/>
    <x v="26"/>
    <x v="0"/>
    <x v="3"/>
    <n v="820.19"/>
    <n v="4"/>
    <n v="0.2"/>
    <x v="95"/>
    <n v="3274.19848"/>
    <n v="3044.5484799999999"/>
    <n v="229.65"/>
    <s v="Dec-2024"/>
    <d v="2026-04-22T15:47:18"/>
  </r>
  <r>
    <s v="CUST015"/>
    <x v="9"/>
    <x v="4"/>
    <x v="2"/>
    <n v="511.74"/>
    <n v="8"/>
    <n v="0.05"/>
    <x v="96"/>
    <n v="4091.8730399999999"/>
    <n v="3970.33304"/>
    <n v="121.54"/>
    <s v="Dec-2024"/>
    <d v="2026-04-22T15:47:18"/>
  </r>
  <r>
    <s v="CUST002"/>
    <x v="21"/>
    <x v="2"/>
    <x v="3"/>
    <n v="806.03"/>
    <n v="19"/>
    <n v="0.05"/>
    <x v="97"/>
    <n v="15306.912715"/>
    <n v="15038.912715"/>
    <n v="268"/>
    <s v="Dec-2024"/>
    <d v="2026-04-22T15:47:18"/>
  </r>
  <r>
    <s v="CUST001"/>
    <x v="4"/>
    <x v="4"/>
    <x v="3"/>
    <n v="1432.47"/>
    <n v="16"/>
    <n v="0.15"/>
    <x v="98"/>
    <n v="22885.140719999999"/>
    <n v="22458.98072"/>
    <n v="426.16"/>
    <s v="Dec-2024"/>
    <d v="2026-04-22T15:47:18"/>
  </r>
  <r>
    <s v="CUST027"/>
    <x v="5"/>
    <x v="4"/>
    <x v="2"/>
    <n v="1488.58"/>
    <n v="10"/>
    <n v="0.15"/>
    <x v="98"/>
    <n v="14863.471299999999"/>
    <n v="14547.1513"/>
    <n v="316.32"/>
    <s v="Dec-2024"/>
    <d v="2026-04-22T15:47:18"/>
  </r>
  <r>
    <s v="CUST026"/>
    <x v="24"/>
    <x v="1"/>
    <x v="0"/>
    <n v="1231.26"/>
    <n v="9"/>
    <n v="0"/>
    <x v="99"/>
    <n v="11081.34"/>
    <n v="10588.84"/>
    <n v="492.5"/>
    <s v="Dec-2024"/>
    <d v="2026-04-22T15:47:18"/>
  </r>
  <r>
    <s v="CUST026"/>
    <x v="11"/>
    <x v="0"/>
    <x v="2"/>
    <n v="1161.67"/>
    <n v="19"/>
    <n v="0.2"/>
    <x v="100"/>
    <n v="22027.586540000004"/>
    <n v="21795.256540000002"/>
    <n v="232.33"/>
    <s v="Dec-2024"/>
    <d v="2026-04-22T15:47:18"/>
  </r>
  <r>
    <s v="CUST022"/>
    <x v="12"/>
    <x v="4"/>
    <x v="4"/>
    <n v="388.23"/>
    <n v="16"/>
    <n v="0.05"/>
    <x v="101"/>
    <n v="6208.5741600000001"/>
    <n v="6042.6041599999999"/>
    <n v="165.97"/>
    <s v="Dec-2024"/>
    <d v="2026-04-22T15:47:18"/>
  </r>
  <r>
    <s v="CUST004"/>
    <x v="6"/>
    <x v="3"/>
    <x v="1"/>
    <n v="1589.42"/>
    <n v="6"/>
    <n v="0.15"/>
    <x v="102"/>
    <n v="9522.21522"/>
    <n v="8846.71522"/>
    <n v="675.5"/>
    <s v="Dec-2024"/>
    <d v="2026-04-22T15:47:18"/>
  </r>
  <r>
    <s v="CUST001"/>
    <x v="26"/>
    <x v="3"/>
    <x v="1"/>
    <n v="336.66"/>
    <n v="13"/>
    <n v="0.2"/>
    <x v="102"/>
    <n v="4367.8268399999997"/>
    <n v="4233.1668399999999"/>
    <n v="134.66"/>
    <s v="Dec-2024"/>
    <d v="2026-04-22T15:47:18"/>
  </r>
  <r>
    <s v="CUST022"/>
    <x v="3"/>
    <x v="0"/>
    <x v="0"/>
    <n v="1353.79"/>
    <n v="14"/>
    <n v="0.1"/>
    <x v="103"/>
    <n v="18934.106939999998"/>
    <n v="18446.746939999997"/>
    <n v="487.36"/>
    <s v="Dec-2024"/>
    <d v="2026-04-22T15:47:18"/>
  </r>
  <r>
    <s v="CUST011"/>
    <x v="25"/>
    <x v="4"/>
    <x v="1"/>
    <n v="662.61"/>
    <n v="11"/>
    <n v="0.05"/>
    <x v="104"/>
    <n v="7285.0656449999997"/>
    <n v="6970.3256449999999"/>
    <n v="314.74"/>
    <s v="Jan-2025"/>
    <d v="2026-04-22T15:47:18"/>
  </r>
  <r>
    <s v="CUST028"/>
    <x v="14"/>
    <x v="3"/>
    <x v="4"/>
    <n v="309.42"/>
    <n v="1"/>
    <n v="0.2"/>
    <x v="104"/>
    <n v="308.80116000000004"/>
    <n v="197.41116000000005"/>
    <n v="111.39"/>
    <s v="Jan-2025"/>
    <d v="2026-04-22T15:47:18"/>
  </r>
  <r>
    <s v="CUST011"/>
    <x v="5"/>
    <x v="3"/>
    <x v="0"/>
    <n v="884.63"/>
    <n v="18"/>
    <n v="0.1"/>
    <x v="105"/>
    <n v="15907.416660000001"/>
    <n v="15588.946660000001"/>
    <n v="318.47000000000003"/>
    <s v="Jan-2025"/>
    <d v="2026-04-22T15:47:18"/>
  </r>
  <r>
    <s v="CUST028"/>
    <x v="3"/>
    <x v="4"/>
    <x v="4"/>
    <n v="745.05"/>
    <n v="10"/>
    <n v="0.1"/>
    <x v="106"/>
    <n v="7443.0495000000001"/>
    <n v="7141.2995000000001"/>
    <n v="301.75"/>
    <s v="Jan-2025"/>
    <d v="2026-04-22T15:47:18"/>
  </r>
  <r>
    <s v="CUST016"/>
    <x v="2"/>
    <x v="2"/>
    <x v="1"/>
    <n v="870.23"/>
    <n v="5"/>
    <n v="0.05"/>
    <x v="106"/>
    <n v="4348.9744249999994"/>
    <n v="3935.6144249999993"/>
    <n v="413.36"/>
    <s v="Jan-2025"/>
    <d v="2026-04-22T15:47:18"/>
  </r>
  <r>
    <s v="CUST010"/>
    <x v="5"/>
    <x v="0"/>
    <x v="3"/>
    <n v="862.19"/>
    <n v="18"/>
    <n v="0.05"/>
    <x v="107"/>
    <n v="15511.660290000002"/>
    <n v="15224.980290000001"/>
    <n v="286.68"/>
    <s v="Jan-2025"/>
    <d v="2026-04-22T15:47:18"/>
  </r>
  <r>
    <s v="CUST013"/>
    <x v="20"/>
    <x v="3"/>
    <x v="1"/>
    <n v="1171.18"/>
    <n v="19"/>
    <n v="0.05"/>
    <x v="108"/>
    <n v="22241.293790000003"/>
    <n v="21684.983790000002"/>
    <n v="556.30999999999995"/>
    <s v="Jan-2025"/>
    <d v="2026-04-22T15:47:18"/>
  </r>
  <r>
    <s v="CUST015"/>
    <x v="1"/>
    <x v="2"/>
    <x v="3"/>
    <n v="1054.56"/>
    <n v="11"/>
    <n v="0.1"/>
    <x v="109"/>
    <n v="11588.55984"/>
    <n v="11256.369839999999"/>
    <n v="332.19"/>
    <s v="Jan-2025"/>
    <d v="2026-04-22T15:47:18"/>
  </r>
  <r>
    <s v="CUST015"/>
    <x v="3"/>
    <x v="3"/>
    <x v="2"/>
    <n v="1681.21"/>
    <n v="5"/>
    <n v="0.2"/>
    <x v="110"/>
    <n v="8389.2379000000001"/>
    <n v="8052.9979000000003"/>
    <n v="336.24"/>
    <s v="Jan-2025"/>
    <d v="2026-04-22T15:47:18"/>
  </r>
  <r>
    <s v="CUST015"/>
    <x v="8"/>
    <x v="0"/>
    <x v="1"/>
    <n v="379.77"/>
    <n v="9"/>
    <n v="0.05"/>
    <x v="111"/>
    <n v="3416.221035"/>
    <n v="3235.8310350000002"/>
    <n v="180.39"/>
    <s v="Jan-2025"/>
    <d v="2026-04-22T15:47:18"/>
  </r>
  <r>
    <s v="CUST008"/>
    <x v="12"/>
    <x v="4"/>
    <x v="1"/>
    <n v="1076.33"/>
    <n v="2"/>
    <n v="0.1"/>
    <x v="112"/>
    <n v="2150.5073399999997"/>
    <n v="1666.1573399999997"/>
    <n v="484.35"/>
    <s v="Jan-2025"/>
    <d v="2026-04-22T15:47:18"/>
  </r>
  <r>
    <s v="CUST008"/>
    <x v="6"/>
    <x v="4"/>
    <x v="4"/>
    <n v="1250.71"/>
    <n v="7"/>
    <n v="0"/>
    <x v="112"/>
    <n v="8754.9700000000012"/>
    <n v="8192.1500000000015"/>
    <n v="562.82000000000005"/>
    <s v="Jan-2025"/>
    <d v="2026-04-22T15:47:18"/>
  </r>
  <r>
    <s v="CUST023"/>
    <x v="2"/>
    <x v="2"/>
    <x v="1"/>
    <n v="1118.3399999999999"/>
    <n v="6"/>
    <n v="0.2"/>
    <x v="112"/>
    <n v="6696.6199199999992"/>
    <n v="6249.279919999999"/>
    <n v="447.34"/>
    <s v="Jan-2025"/>
    <d v="2026-04-22T15:47:18"/>
  </r>
  <r>
    <s v="CUST024"/>
    <x v="17"/>
    <x v="3"/>
    <x v="1"/>
    <n v="1622.62"/>
    <n v="12"/>
    <n v="0.2"/>
    <x v="113"/>
    <n v="19432.49712"/>
    <n v="18783.447120000001"/>
    <n v="649.04999999999995"/>
    <s v="Jan-2025"/>
    <d v="2026-04-22T15:47:18"/>
  </r>
  <r>
    <s v="CUST018"/>
    <x v="14"/>
    <x v="3"/>
    <x v="0"/>
    <n v="640.64"/>
    <n v="11"/>
    <n v="0.2"/>
    <x v="114"/>
    <n v="7032.9459200000001"/>
    <n v="6827.9459200000001"/>
    <n v="205"/>
    <s v="Jan-2025"/>
    <d v="2026-04-22T15:47:18"/>
  </r>
  <r>
    <s v="CUST030"/>
    <x v="11"/>
    <x v="0"/>
    <x v="1"/>
    <n v="585.16"/>
    <n v="17"/>
    <n v="0.1"/>
    <x v="115"/>
    <n v="9937.7722799999992"/>
    <n v="9674.4522799999995"/>
    <n v="263.32"/>
    <s v="Jan-2025"/>
    <d v="2026-04-22T15:47:18"/>
  </r>
  <r>
    <s v="CUST030"/>
    <x v="6"/>
    <x v="1"/>
    <x v="1"/>
    <n v="1109.98"/>
    <n v="5"/>
    <n v="0.2"/>
    <x v="116"/>
    <n v="5538.8001999999997"/>
    <n v="5094.8101999999999"/>
    <n v="443.99"/>
    <s v="Feb-2025"/>
    <d v="2026-04-22T15:47:18"/>
  </r>
  <r>
    <s v="CUST015"/>
    <x v="12"/>
    <x v="1"/>
    <x v="0"/>
    <n v="1098.08"/>
    <n v="9"/>
    <n v="0.1"/>
    <x v="117"/>
    <n v="9872.8372799999997"/>
    <n v="9477.5272800000002"/>
    <n v="395.31"/>
    <s v="Feb-2025"/>
    <d v="2026-04-22T15:47:18"/>
  </r>
  <r>
    <s v="CUST002"/>
    <x v="14"/>
    <x v="0"/>
    <x v="4"/>
    <n v="827.25"/>
    <n v="7"/>
    <n v="0.1"/>
    <x v="118"/>
    <n v="5784.9592499999999"/>
    <n v="5449.9192499999999"/>
    <n v="335.04"/>
    <s v="Feb-2025"/>
    <d v="2026-04-22T15:47:18"/>
  </r>
  <r>
    <s v="CUST024"/>
    <x v="5"/>
    <x v="4"/>
    <x v="1"/>
    <n v="741.88"/>
    <n v="16"/>
    <n v="0.1"/>
    <x v="119"/>
    <n v="11858.209919999999"/>
    <n v="11524.359919999999"/>
    <n v="333.85"/>
    <s v="Feb-2025"/>
    <d v="2026-04-22T15:47:18"/>
  </r>
  <r>
    <s v="CUST004"/>
    <x v="0"/>
    <x v="1"/>
    <x v="4"/>
    <n v="1311.26"/>
    <n v="6"/>
    <n v="0.1"/>
    <x v="120"/>
    <n v="7859.6924399999998"/>
    <n v="7328.6324399999994"/>
    <n v="531.05999999999995"/>
    <s v="Feb-2025"/>
    <d v="2026-04-22T15:47:18"/>
  </r>
  <r>
    <s v="CUST004"/>
    <x v="6"/>
    <x v="2"/>
    <x v="4"/>
    <n v="573.32000000000005"/>
    <n v="19"/>
    <n v="0.1"/>
    <x v="121"/>
    <n v="10882.186920000002"/>
    <n v="10649.996920000001"/>
    <n v="232.19"/>
    <s v="Feb-2025"/>
    <d v="2026-04-22T15:47:18"/>
  </r>
  <r>
    <s v="CUST028"/>
    <x v="3"/>
    <x v="0"/>
    <x v="2"/>
    <n v="1115.22"/>
    <n v="14"/>
    <n v="0.2"/>
    <x v="122"/>
    <n v="15581.85384"/>
    <n v="15358.813839999999"/>
    <n v="223.04"/>
    <s v="Feb-2025"/>
    <d v="2026-04-22T15:47:18"/>
  </r>
  <r>
    <s v="CUST012"/>
    <x v="12"/>
    <x v="3"/>
    <x v="1"/>
    <n v="845.84"/>
    <n v="4"/>
    <n v="0"/>
    <x v="123"/>
    <n v="3383.36"/>
    <n v="2960.44"/>
    <n v="422.92"/>
    <s v="Feb-2025"/>
    <d v="2026-04-22T15:47:18"/>
  </r>
  <r>
    <s v="CUST026"/>
    <x v="18"/>
    <x v="0"/>
    <x v="2"/>
    <n v="1029.8"/>
    <n v="3"/>
    <n v="0"/>
    <x v="124"/>
    <n v="3089.3999999999996"/>
    <n v="2831.95"/>
    <n v="257.45"/>
    <s v="Feb-2025"/>
    <d v="2026-04-22T15:47:18"/>
  </r>
  <r>
    <s v="CUST009"/>
    <x v="6"/>
    <x v="3"/>
    <x v="0"/>
    <n v="1189.83"/>
    <n v="2"/>
    <n v="0.2"/>
    <x v="125"/>
    <n v="2374.9006799999997"/>
    <n v="1994.1506799999997"/>
    <n v="380.75"/>
    <s v="Feb-2025"/>
    <d v="2026-04-22T15:47:18"/>
  </r>
  <r>
    <s v="CUST003"/>
    <x v="11"/>
    <x v="2"/>
    <x v="0"/>
    <n v="704.28"/>
    <n v="15"/>
    <n v="0.2"/>
    <x v="126"/>
    <n v="10543.071599999999"/>
    <n v="10317.701599999999"/>
    <n v="225.37"/>
    <s v="Feb-2025"/>
    <d v="2026-04-22T15:47:18"/>
  </r>
  <r>
    <s v="CUST002"/>
    <x v="13"/>
    <x v="4"/>
    <x v="4"/>
    <n v="1618.22"/>
    <n v="12"/>
    <n v="0.2"/>
    <x v="126"/>
    <n v="19379.80272"/>
    <n v="18797.242719999998"/>
    <n v="582.55999999999995"/>
    <s v="Feb-2025"/>
    <d v="2026-04-22T15:47:18"/>
  </r>
  <r>
    <s v="CUST013"/>
    <x v="17"/>
    <x v="4"/>
    <x v="0"/>
    <n v="1014.43"/>
    <n v="2"/>
    <n v="0.15"/>
    <x v="127"/>
    <n v="2025.8167099999998"/>
    <n v="1680.9067099999997"/>
    <n v="344.91"/>
    <s v="Feb-2025"/>
    <d v="2026-04-22T15:47:18"/>
  </r>
  <r>
    <s v="CUST018"/>
    <x v="6"/>
    <x v="4"/>
    <x v="1"/>
    <n v="826.97"/>
    <n v="18"/>
    <n v="0.2"/>
    <x v="128"/>
    <n v="14855.68908"/>
    <n v="14524.899079999999"/>
    <n v="330.79"/>
    <s v="Feb-2025"/>
    <d v="2026-04-22T15:47:18"/>
  </r>
  <r>
    <s v="CUST017"/>
    <x v="6"/>
    <x v="4"/>
    <x v="1"/>
    <n v="1022.23"/>
    <n v="8"/>
    <n v="0.1"/>
    <x v="129"/>
    <n v="8169.6621599999999"/>
    <n v="7709.6621599999999"/>
    <n v="460"/>
    <s v="Mar-2025"/>
    <d v="2026-04-22T15:47:18"/>
  </r>
  <r>
    <s v="CUST004"/>
    <x v="5"/>
    <x v="1"/>
    <x v="0"/>
    <n v="1099.69"/>
    <n v="6"/>
    <n v="0"/>
    <x v="130"/>
    <n v="6598.14"/>
    <n v="6158.26"/>
    <n v="439.88"/>
    <s v="Mar-2025"/>
    <d v="2026-04-22T15:47:18"/>
  </r>
  <r>
    <s v="CUST028"/>
    <x v="23"/>
    <x v="3"/>
    <x v="0"/>
    <n v="710.52"/>
    <n v="8"/>
    <n v="0.1"/>
    <x v="131"/>
    <n v="5678.4758400000001"/>
    <n v="5422.6858400000001"/>
    <n v="255.79"/>
    <s v="Mar-2025"/>
    <d v="2026-04-22T15:47:18"/>
  </r>
  <r>
    <s v="CUST028"/>
    <x v="20"/>
    <x v="3"/>
    <x v="0"/>
    <n v="499.18"/>
    <n v="15"/>
    <n v="0.2"/>
    <x v="132"/>
    <n v="7472.7245999999996"/>
    <n v="7312.9845999999998"/>
    <n v="159.74"/>
    <s v="Mar-2025"/>
    <d v="2026-04-22T15:47:18"/>
  </r>
  <r>
    <s v="CUST014"/>
    <x v="9"/>
    <x v="2"/>
    <x v="0"/>
    <n v="1064.19"/>
    <n v="18"/>
    <n v="0.05"/>
    <x v="133"/>
    <n v="19145.842290000001"/>
    <n v="18741.452290000001"/>
    <n v="404.39"/>
    <s v="Mar-2025"/>
    <d v="2026-04-22T15:47:18"/>
  </r>
  <r>
    <s v="CUST003"/>
    <x v="9"/>
    <x v="1"/>
    <x v="4"/>
    <n v="438.76"/>
    <n v="18"/>
    <n v="0.05"/>
    <x v="134"/>
    <n v="7893.7311600000003"/>
    <n v="7706.1611600000006"/>
    <n v="187.57"/>
    <s v="Mar-2025"/>
    <d v="2026-04-22T15:47:18"/>
  </r>
  <r>
    <s v="CUST029"/>
    <x v="18"/>
    <x v="0"/>
    <x v="1"/>
    <n v="864.98"/>
    <n v="2"/>
    <n v="0.05"/>
    <x v="135"/>
    <n v="1729.09502"/>
    <n v="1318.2250199999999"/>
    <n v="410.87"/>
    <s v="Mar-2025"/>
    <d v="2026-04-22T15:47:18"/>
  </r>
  <r>
    <s v="CUST021"/>
    <x v="18"/>
    <x v="0"/>
    <x v="3"/>
    <n v="984.93"/>
    <n v="14"/>
    <n v="0.2"/>
    <x v="136"/>
    <n v="13761.441959999998"/>
    <n v="13485.661959999998"/>
    <n v="275.77999999999997"/>
    <s v="Mar-2025"/>
    <d v="2026-04-22T15:47:18"/>
  </r>
  <r>
    <s v="CUST007"/>
    <x v="18"/>
    <x v="0"/>
    <x v="1"/>
    <n v="1493.49"/>
    <n v="18"/>
    <n v="0"/>
    <x v="137"/>
    <n v="26882.82"/>
    <n v="26136.079999999998"/>
    <n v="746.74"/>
    <s v="Mar-2025"/>
    <d v="2026-04-22T15:47:18"/>
  </r>
  <r>
    <s v="CUST009"/>
    <x v="17"/>
    <x v="2"/>
    <x v="1"/>
    <n v="689.43"/>
    <n v="9"/>
    <n v="0.1"/>
    <x v="138"/>
    <n v="6198.6651300000003"/>
    <n v="5888.4251300000005"/>
    <n v="310.24"/>
    <s v="Mar-2025"/>
    <d v="2026-04-22T15:47:18"/>
  </r>
  <r>
    <s v="CUST023"/>
    <x v="20"/>
    <x v="2"/>
    <x v="1"/>
    <n v="682.24"/>
    <n v="1"/>
    <n v="0"/>
    <x v="139"/>
    <n v="682.24"/>
    <n v="341.12"/>
    <n v="341.12"/>
    <s v="Mar-2025"/>
    <d v="2026-04-22T15:47:18"/>
  </r>
  <r>
    <s v="CUST029"/>
    <x v="4"/>
    <x v="3"/>
    <x v="2"/>
    <n v="458.54"/>
    <n v="15"/>
    <n v="0.2"/>
    <x v="140"/>
    <n v="6864.3438000000006"/>
    <n v="6772.6338000000005"/>
    <n v="91.71"/>
    <s v="Mar-2025"/>
    <d v="2026-04-22T15:47:18"/>
  </r>
  <r>
    <s v="CUST009"/>
    <x v="4"/>
    <x v="2"/>
    <x v="3"/>
    <n v="1184.25"/>
    <n v="11"/>
    <n v="0.2"/>
    <x v="141"/>
    <n v="13000.6965"/>
    <n v="12669.1065"/>
    <n v="331.59"/>
    <s v="Mar-2025"/>
    <d v="2026-04-22T15:47:18"/>
  </r>
  <r>
    <s v="CUST007"/>
    <x v="0"/>
    <x v="2"/>
    <x v="1"/>
    <n v="762.14"/>
    <n v="9"/>
    <n v="0"/>
    <x v="142"/>
    <n v="6859.26"/>
    <n v="6478.1900000000005"/>
    <n v="381.07"/>
    <s v="Mar-2025"/>
    <d v="2026-04-22T15:47:18"/>
  </r>
  <r>
    <s v="CUST030"/>
    <x v="17"/>
    <x v="3"/>
    <x v="0"/>
    <n v="750.71"/>
    <n v="10"/>
    <n v="0.15"/>
    <x v="142"/>
    <n v="7495.8393500000002"/>
    <n v="7240.5993500000004"/>
    <n v="255.24"/>
    <s v="Mar-2025"/>
    <d v="2026-04-22T15:47:18"/>
  </r>
  <r>
    <s v="CUST018"/>
    <x v="26"/>
    <x v="4"/>
    <x v="1"/>
    <n v="1456.94"/>
    <n v="14"/>
    <n v="0.05"/>
    <x v="143"/>
    <n v="20386.96142"/>
    <n v="19694.91142"/>
    <n v="692.05"/>
    <s v="Mar-2025"/>
    <d v="2026-04-22T15:47:18"/>
  </r>
  <r>
    <s v="CUST008"/>
    <x v="21"/>
    <x v="1"/>
    <x v="3"/>
    <n v="1093.3800000000001"/>
    <n v="17"/>
    <n v="0.1"/>
    <x v="143"/>
    <n v="18568.872540000004"/>
    <n v="18224.462540000004"/>
    <n v="344.41"/>
    <s v="Mar-2025"/>
    <d v="2026-04-22T15:47:18"/>
  </r>
  <r>
    <s v="CUST014"/>
    <x v="11"/>
    <x v="0"/>
    <x v="1"/>
    <n v="934.27"/>
    <n v="8"/>
    <n v="0.15"/>
    <x v="144"/>
    <n v="7462.9487600000002"/>
    <n v="7065.8887599999998"/>
    <n v="397.06"/>
    <s v="Mar-2025"/>
    <d v="2026-04-22T15:47:18"/>
  </r>
  <r>
    <s v="CUST024"/>
    <x v="8"/>
    <x v="4"/>
    <x v="1"/>
    <n v="1465.35"/>
    <n v="8"/>
    <n v="0.2"/>
    <x v="144"/>
    <n v="11699.3544"/>
    <n v="11113.214400000001"/>
    <n v="586.14"/>
    <s v="Mar-2025"/>
    <d v="2026-04-22T15:47:18"/>
  </r>
  <r>
    <s v="CUST028"/>
    <x v="1"/>
    <x v="2"/>
    <x v="4"/>
    <n v="740.8"/>
    <n v="3"/>
    <n v="0"/>
    <x v="145"/>
    <n v="2222.3999999999996"/>
    <n v="1889.0399999999995"/>
    <n v="333.36"/>
    <s v="Apr-2025"/>
    <d v="2026-04-22T15:47:18"/>
  </r>
  <r>
    <s v="CUST015"/>
    <x v="11"/>
    <x v="0"/>
    <x v="4"/>
    <n v="545.44000000000005"/>
    <n v="17"/>
    <n v="0"/>
    <x v="146"/>
    <n v="9272.4800000000014"/>
    <n v="9027.0300000000007"/>
    <n v="245.45"/>
    <s v="Apr-2025"/>
    <d v="2026-04-22T15:47:18"/>
  </r>
  <r>
    <s v="CUST010"/>
    <x v="8"/>
    <x v="1"/>
    <x v="0"/>
    <n v="997.61"/>
    <n v="8"/>
    <n v="0.05"/>
    <x v="146"/>
    <n v="7976.8895600000005"/>
    <n v="7597.7995600000004"/>
    <n v="379.09"/>
    <s v="Apr-2025"/>
    <d v="2026-04-22T15:47:18"/>
  </r>
  <r>
    <s v="CUST016"/>
    <x v="8"/>
    <x v="2"/>
    <x v="1"/>
    <n v="928.32"/>
    <n v="2"/>
    <n v="0.05"/>
    <x v="147"/>
    <n v="1855.7116800000001"/>
    <n v="1414.7616800000001"/>
    <n v="440.95"/>
    <s v="Apr-2025"/>
    <d v="2026-04-22T15:47:18"/>
  </r>
  <r>
    <m/>
    <x v="27"/>
    <x v="5"/>
    <x v="5"/>
    <m/>
    <m/>
    <m/>
    <x v="148"/>
    <m/>
    <m/>
    <m/>
    <m/>
    <m/>
  </r>
  <r>
    <m/>
    <x v="27"/>
    <x v="5"/>
    <x v="5"/>
    <m/>
    <m/>
    <m/>
    <x v="148"/>
    <m/>
    <m/>
    <m/>
    <m/>
    <m/>
  </r>
  <r>
    <m/>
    <x v="27"/>
    <x v="5"/>
    <x v="5"/>
    <m/>
    <m/>
    <m/>
    <x v="148"/>
    <m/>
    <m/>
    <m/>
    <m/>
    <m/>
  </r>
  <r>
    <m/>
    <x v="27"/>
    <x v="5"/>
    <x v="5"/>
    <m/>
    <m/>
    <m/>
    <x v="148"/>
    <m/>
    <m/>
    <m/>
    <m/>
    <m/>
  </r>
  <r>
    <m/>
    <x v="27"/>
    <x v="5"/>
    <x v="5"/>
    <m/>
    <m/>
    <m/>
    <x v="148"/>
    <m/>
    <m/>
    <m/>
    <m/>
    <m/>
  </r>
  <r>
    <m/>
    <x v="27"/>
    <x v="5"/>
    <x v="5"/>
    <m/>
    <m/>
    <m/>
    <x v="148"/>
    <m/>
    <m/>
    <m/>
    <m/>
    <m/>
  </r>
  <r>
    <m/>
    <x v="27"/>
    <x v="5"/>
    <x v="5"/>
    <m/>
    <m/>
    <m/>
    <x v="148"/>
    <m/>
    <m/>
    <m/>
    <m/>
    <m/>
  </r>
  <r>
    <m/>
    <x v="27"/>
    <x v="5"/>
    <x v="5"/>
    <m/>
    <m/>
    <m/>
    <x v="148"/>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D071C6B-D3B9-44FB-B19F-2FAE1FDFB1DD}" name="PivotTable1"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8" firstHeaderRow="1" firstDataRow="1" firstDataCol="1"/>
  <pivotFields count="12">
    <pivotField showAll="0"/>
    <pivotField showAll="0"/>
    <pivotField showAll="0">
      <items count="7">
        <item x="4"/>
        <item x="1"/>
        <item x="3"/>
        <item x="2"/>
        <item x="0"/>
        <item x="5"/>
        <item t="default"/>
      </items>
    </pivotField>
    <pivotField showAll="0">
      <items count="7">
        <item x="0"/>
        <item x="1"/>
        <item x="2"/>
        <item x="3"/>
        <item x="4"/>
        <item x="5"/>
        <item t="default"/>
      </items>
    </pivotField>
    <pivotField dataField="1" showAll="0"/>
    <pivotField showAll="0"/>
    <pivotField showAll="0"/>
    <pivotField showAll="0"/>
    <pivotField showAll="0"/>
    <pivotField showAll="0"/>
    <pivotField showAll="0"/>
    <pivotField axis="axisRow" showAll="0">
      <items count="15">
        <item x="0"/>
        <item x="12"/>
        <item x="4"/>
        <item x="8"/>
        <item x="10"/>
        <item x="9"/>
        <item x="3"/>
        <item x="2"/>
        <item x="11"/>
        <item x="1"/>
        <item x="7"/>
        <item x="6"/>
        <item x="5"/>
        <item x="13"/>
        <item t="default"/>
      </items>
    </pivotField>
  </pivotFields>
  <rowFields count="1">
    <field x="11"/>
  </rowFields>
  <rowItems count="15">
    <i>
      <x/>
    </i>
    <i>
      <x v="1"/>
    </i>
    <i>
      <x v="2"/>
    </i>
    <i>
      <x v="3"/>
    </i>
    <i>
      <x v="4"/>
    </i>
    <i>
      <x v="5"/>
    </i>
    <i>
      <x v="6"/>
    </i>
    <i>
      <x v="7"/>
    </i>
    <i>
      <x v="8"/>
    </i>
    <i>
      <x v="9"/>
    </i>
    <i>
      <x v="10"/>
    </i>
    <i>
      <x v="11"/>
    </i>
    <i>
      <x v="12"/>
    </i>
    <i>
      <x v="13"/>
    </i>
    <i t="grand">
      <x/>
    </i>
  </rowItems>
  <colItems count="1">
    <i/>
  </colItems>
  <dataFields count="1">
    <dataField name="Sum of Sales"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3683781-2529-4675-9191-884477728B50}" name="PivotTable2"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32" firstHeaderRow="1" firstDataRow="1" firstDataCol="1"/>
  <pivotFields count="16">
    <pivotField showAll="0"/>
    <pivotField axis="axisRow" showAll="0">
      <items count="29">
        <item x="26"/>
        <item x="18"/>
        <item x="19"/>
        <item x="10"/>
        <item x="8"/>
        <item x="9"/>
        <item x="24"/>
        <item x="21"/>
        <item x="0"/>
        <item x="2"/>
        <item x="3"/>
        <item x="16"/>
        <item x="15"/>
        <item x="22"/>
        <item x="7"/>
        <item x="25"/>
        <item x="17"/>
        <item x="5"/>
        <item x="14"/>
        <item x="12"/>
        <item x="6"/>
        <item x="13"/>
        <item x="20"/>
        <item x="4"/>
        <item x="1"/>
        <item x="11"/>
        <item x="23"/>
        <item x="27"/>
        <item t="default"/>
      </items>
    </pivotField>
    <pivotField showAll="0">
      <items count="7">
        <item x="4"/>
        <item x="1"/>
        <item x="3"/>
        <item x="2"/>
        <item x="0"/>
        <item x="5"/>
        <item t="default"/>
      </items>
    </pivotField>
    <pivotField showAll="0">
      <items count="7">
        <item x="0"/>
        <item x="1"/>
        <item x="2"/>
        <item x="3"/>
        <item x="4"/>
        <item x="5"/>
        <item t="default"/>
      </items>
    </pivotField>
    <pivotField dataField="1" showAll="0"/>
    <pivotField showAll="0"/>
    <pivotField showAll="0"/>
    <pivotField showAll="0">
      <items count="1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t="default"/>
      </items>
    </pivotField>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
  </rowFields>
  <rowItems count="29">
    <i>
      <x/>
    </i>
    <i>
      <x v="1"/>
    </i>
    <i>
      <x v="2"/>
    </i>
    <i>
      <x v="3"/>
    </i>
    <i>
      <x v="4"/>
    </i>
    <i>
      <x v="5"/>
    </i>
    <i>
      <x v="6"/>
    </i>
    <i>
      <x v="7"/>
    </i>
    <i>
      <x v="8"/>
    </i>
    <i>
      <x v="9"/>
    </i>
    <i>
      <x v="10"/>
    </i>
    <i>
      <x v="11"/>
    </i>
    <i>
      <x v="12"/>
    </i>
    <i>
      <x v="13"/>
    </i>
    <i>
      <x v="14"/>
    </i>
    <i>
      <x v="15"/>
    </i>
    <i>
      <x v="16"/>
    </i>
    <i>
      <x v="17"/>
    </i>
    <i>
      <x v="18"/>
    </i>
    <i>
      <x v="19"/>
    </i>
    <i>
      <x v="20"/>
    </i>
    <i>
      <x v="21"/>
    </i>
    <i>
      <x v="22"/>
    </i>
    <i>
      <x v="23"/>
    </i>
    <i>
      <x v="24"/>
    </i>
    <i>
      <x v="25"/>
    </i>
    <i>
      <x v="26"/>
    </i>
    <i>
      <x v="27"/>
    </i>
    <i t="grand">
      <x/>
    </i>
  </rowItems>
  <colItems count="1">
    <i/>
  </colItems>
  <dataFields count="1">
    <dataField name="Sum of Sales"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0FF8A2C-D49D-464A-9EDB-785225FC0ED2}" name="PivotTable3"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0" firstHeaderRow="1" firstDataRow="1" firstDataCol="1"/>
  <pivotFields count="16">
    <pivotField showAll="0"/>
    <pivotField showAll="0"/>
    <pivotField axis="axisRow" showAll="0">
      <items count="7">
        <item x="4"/>
        <item x="1"/>
        <item x="3"/>
        <item x="2"/>
        <item x="0"/>
        <item x="5"/>
        <item t="default"/>
      </items>
    </pivotField>
    <pivotField showAll="0">
      <items count="7">
        <item x="0"/>
        <item x="1"/>
        <item x="2"/>
        <item x="3"/>
        <item x="4"/>
        <item x="5"/>
        <item t="default"/>
      </items>
    </pivotField>
    <pivotField dataField="1" showAll="0"/>
    <pivotField showAll="0"/>
    <pivotField showAll="0"/>
    <pivotField showAll="0">
      <items count="1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t="default"/>
      </items>
    </pivotField>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7">
    <i>
      <x/>
    </i>
    <i>
      <x v="1"/>
    </i>
    <i>
      <x v="2"/>
    </i>
    <i>
      <x v="3"/>
    </i>
    <i>
      <x v="4"/>
    </i>
    <i>
      <x v="5"/>
    </i>
    <i t="grand">
      <x/>
    </i>
  </rowItems>
  <colItems count="1">
    <i/>
  </colItems>
  <dataFields count="1">
    <dataField name="Sum of Sales" fld="4"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125FAD4-6700-4773-A000-7B894C5F5E81}" name="PivotTable8"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P3:Q10" firstHeaderRow="1" firstDataRow="1" firstDataCol="1"/>
  <pivotFields count="16">
    <pivotField showAll="0"/>
    <pivotField showAll="0"/>
    <pivotField axis="axisRow" showAll="0">
      <items count="7">
        <item x="4"/>
        <item x="1"/>
        <item x="3"/>
        <item x="2"/>
        <item x="0"/>
        <item x="5"/>
        <item t="default"/>
      </items>
    </pivotField>
    <pivotField showAll="0"/>
    <pivotField dataField="1" showAll="0"/>
    <pivotField showAll="0"/>
    <pivotField showAll="0"/>
    <pivotField showAll="0">
      <items count="1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t="default"/>
      </items>
    </pivotField>
    <pivotField showAll="0"/>
    <pivotField showAll="0"/>
    <pivotField showAll="0"/>
    <pivotField showAll="0"/>
    <pivotField showAll="0"/>
    <pivotField showAll="0" defaultSubtotal="0"/>
    <pivotField showAll="0" defaultSubtotal="0"/>
    <pivotField showAll="0" defaultSubtotal="0">
      <items count="4">
        <item x="0"/>
        <item x="1"/>
        <item x="2"/>
        <item x="3"/>
      </items>
    </pivotField>
  </pivotFields>
  <rowFields count="1">
    <field x="2"/>
  </rowFields>
  <rowItems count="7">
    <i>
      <x/>
    </i>
    <i>
      <x v="1"/>
    </i>
    <i>
      <x v="2"/>
    </i>
    <i>
      <x v="3"/>
    </i>
    <i>
      <x v="4"/>
    </i>
    <i>
      <x v="5"/>
    </i>
    <i t="grand">
      <x/>
    </i>
  </rowItems>
  <colItems count="1">
    <i/>
  </colItems>
  <dataFields count="1">
    <dataField name="Sum of Sales" fld="4" baseField="0" baseItem="0"/>
  </dataFields>
  <chartFormats count="8">
    <chartFormat chart="1" format="0" series="1">
      <pivotArea type="data" outline="0" fieldPosition="0">
        <references count="1">
          <reference field="4294967294" count="1" selected="0">
            <x v="0"/>
          </reference>
        </references>
      </pivotArea>
    </chartFormat>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2" count="1" selected="0">
            <x v="0"/>
          </reference>
        </references>
      </pivotArea>
    </chartFormat>
    <chartFormat chart="6" format="10">
      <pivotArea type="data" outline="0" fieldPosition="0">
        <references count="2">
          <reference field="4294967294" count="1" selected="0">
            <x v="0"/>
          </reference>
          <reference field="2" count="1" selected="0">
            <x v="1"/>
          </reference>
        </references>
      </pivotArea>
    </chartFormat>
    <chartFormat chart="6" format="11">
      <pivotArea type="data" outline="0" fieldPosition="0">
        <references count="2">
          <reference field="4294967294" count="1" selected="0">
            <x v="0"/>
          </reference>
          <reference field="2" count="1" selected="0">
            <x v="2"/>
          </reference>
        </references>
      </pivotArea>
    </chartFormat>
    <chartFormat chart="6" format="12">
      <pivotArea type="data" outline="0" fieldPosition="0">
        <references count="2">
          <reference field="4294967294" count="1" selected="0">
            <x v="0"/>
          </reference>
          <reference field="2" count="1" selected="0">
            <x v="3"/>
          </reference>
        </references>
      </pivotArea>
    </chartFormat>
    <chartFormat chart="6" format="13">
      <pivotArea type="data" outline="0" fieldPosition="0">
        <references count="2">
          <reference field="4294967294" count="1" selected="0">
            <x v="0"/>
          </reference>
          <reference field="2" count="1" selected="0">
            <x v="4"/>
          </reference>
        </references>
      </pivotArea>
    </chartFormat>
    <chartFormat chart="6" format="14">
      <pivotArea type="data" outline="0" fieldPosition="0">
        <references count="2">
          <reference field="4294967294" count="1" selected="0">
            <x v="0"/>
          </reference>
          <reference field="2"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CDDD921-AF9F-4345-B60D-D5DE7F306B0D}" name="PivotTable5"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I3:J16" firstHeaderRow="1" firstDataRow="1" firstDataCol="1"/>
  <pivotFields count="16">
    <pivotField showAll="0"/>
    <pivotField showAll="0"/>
    <pivotField showAll="0">
      <items count="7">
        <item x="4"/>
        <item x="1"/>
        <item x="3"/>
        <item x="2"/>
        <item x="0"/>
        <item x="5"/>
        <item t="default"/>
      </items>
    </pivotField>
    <pivotField showAll="0">
      <items count="7">
        <item x="0"/>
        <item x="1"/>
        <item x="2"/>
        <item x="3"/>
        <item x="4"/>
        <item x="5"/>
        <item t="default"/>
      </items>
    </pivotField>
    <pivotField dataField="1" showAll="0"/>
    <pivotField showAll="0"/>
    <pivotField showAll="0"/>
    <pivotField axis="axisRow" showAll="0">
      <items count="1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t="default"/>
      </items>
    </pivotField>
    <pivotField showAll="0"/>
    <pivotField showAll="0"/>
    <pivotField showAll="0"/>
    <pivotField showAll="0"/>
    <pivotField showAll="0"/>
    <pivotField axis="axisRow" showAll="0">
      <items count="15">
        <item h="1"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2">
    <field x="13"/>
    <field x="7"/>
  </rowFields>
  <rowItems count="13">
    <i>
      <x v="1"/>
    </i>
    <i>
      <x v="2"/>
    </i>
    <i>
      <x v="3"/>
    </i>
    <i>
      <x v="4"/>
    </i>
    <i>
      <x v="5"/>
    </i>
    <i>
      <x v="6"/>
    </i>
    <i>
      <x v="7"/>
    </i>
    <i>
      <x v="8"/>
    </i>
    <i>
      <x v="9"/>
    </i>
    <i>
      <x v="10"/>
    </i>
    <i>
      <x v="11"/>
    </i>
    <i>
      <x v="12"/>
    </i>
    <i t="grand">
      <x/>
    </i>
  </rowItems>
  <colItems count="1">
    <i/>
  </colItems>
  <dataFields count="1">
    <dataField name="Sum of Sales" fld="4" baseField="0" baseItem="0"/>
  </dataFields>
  <chartFormats count="2">
    <chartFormat chart="1"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456C121-FB3E-4961-8BA5-7C5E286E4DA6}" name="PivotTable4"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0" firstHeaderRow="1" firstDataRow="1" firstDataCol="1"/>
  <pivotFields count="16">
    <pivotField showAll="0"/>
    <pivotField showAll="0"/>
    <pivotField showAll="0">
      <items count="7">
        <item x="4"/>
        <item x="1"/>
        <item x="3"/>
        <item x="2"/>
        <item x="0"/>
        <item x="5"/>
        <item t="default"/>
      </items>
    </pivotField>
    <pivotField axis="axisRow" showAll="0">
      <items count="7">
        <item x="0"/>
        <item x="1"/>
        <item x="2"/>
        <item x="3"/>
        <item x="4"/>
        <item x="5"/>
        <item t="default"/>
      </items>
    </pivotField>
    <pivotField dataField="1" showAll="0"/>
    <pivotField showAll="0"/>
    <pivotField showAll="0"/>
    <pivotField showAll="0">
      <items count="1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t="default"/>
      </items>
    </pivotField>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7">
    <i>
      <x/>
    </i>
    <i>
      <x v="1"/>
    </i>
    <i>
      <x v="2"/>
    </i>
    <i>
      <x v="3"/>
    </i>
    <i>
      <x v="4"/>
    </i>
    <i>
      <x v="5"/>
    </i>
    <i t="grand">
      <x/>
    </i>
  </rowItems>
  <colItems count="1">
    <i/>
  </colItems>
  <dataFields count="1">
    <dataField name="Sum of Sales" fld="4" baseField="0" baseItem="0"/>
  </dataFields>
  <chartFormats count="2">
    <chartFormat chart="1"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D11F584-70B1-472C-ABB6-CA77702CDD6F}" name="PivotTable7"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28:H43" firstHeaderRow="1" firstDataRow="1" firstDataCol="1"/>
  <pivotFields count="12">
    <pivotField showAll="0"/>
    <pivotField showAll="0"/>
    <pivotField showAll="0">
      <items count="7">
        <item x="4"/>
        <item x="1"/>
        <item x="3"/>
        <item x="2"/>
        <item x="0"/>
        <item x="5"/>
        <item t="default"/>
      </items>
    </pivotField>
    <pivotField showAll="0">
      <items count="7">
        <item x="0"/>
        <item x="1"/>
        <item x="2"/>
        <item x="3"/>
        <item x="4"/>
        <item x="5"/>
        <item t="default"/>
      </items>
    </pivotField>
    <pivotField dataField="1" showAll="0"/>
    <pivotField showAll="0"/>
    <pivotField showAll="0"/>
    <pivotField showAll="0"/>
    <pivotField showAll="0"/>
    <pivotField showAll="0"/>
    <pivotField showAll="0"/>
    <pivotField axis="axisRow" showAll="0">
      <items count="15">
        <item x="0"/>
        <item x="12"/>
        <item x="4"/>
        <item x="8"/>
        <item x="10"/>
        <item x="9"/>
        <item x="3"/>
        <item x="2"/>
        <item x="11"/>
        <item x="1"/>
        <item x="7"/>
        <item x="6"/>
        <item x="5"/>
        <item x="13"/>
        <item t="default"/>
      </items>
    </pivotField>
  </pivotFields>
  <rowFields count="1">
    <field x="11"/>
  </rowFields>
  <rowItems count="15">
    <i>
      <x/>
    </i>
    <i>
      <x v="1"/>
    </i>
    <i>
      <x v="2"/>
    </i>
    <i>
      <x v="3"/>
    </i>
    <i>
      <x v="4"/>
    </i>
    <i>
      <x v="5"/>
    </i>
    <i>
      <x v="6"/>
    </i>
    <i>
      <x v="7"/>
    </i>
    <i>
      <x v="8"/>
    </i>
    <i>
      <x v="9"/>
    </i>
    <i>
      <x v="10"/>
    </i>
    <i>
      <x v="11"/>
    </i>
    <i>
      <x v="12"/>
    </i>
    <i>
      <x v="13"/>
    </i>
    <i t="grand">
      <x/>
    </i>
  </rowItems>
  <colItems count="1">
    <i/>
  </colItems>
  <dataFields count="1">
    <dataField name="Sum of Sales"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30ECCED5-0ACE-4ADA-BC77-32A5248036A4}" sourceName="Product_Category">
  <pivotTables>
    <pivotTable tabId="6" name="PivotTable2"/>
    <pivotTable tabId="7" name="PivotTable3"/>
    <pivotTable tabId="8" name="PivotTable4"/>
    <pivotTable tabId="8" name="PivotTable5"/>
  </pivotTables>
  <data>
    <tabular pivotCacheId="1621664437">
      <items count="6">
        <i x="0" s="1"/>
        <i x="1" s="1"/>
        <i x="2" s="1"/>
        <i x="3" s="1"/>
        <i x="4" s="1"/>
        <i x="5"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A5402959-E4A3-4525-83B1-4957E937CE82}" sourceName="Region">
  <pivotTables>
    <pivotTable tabId="8" name="PivotTable8"/>
    <pivotTable tabId="6" name="PivotTable2"/>
    <pivotTable tabId="7" name="PivotTable3"/>
    <pivotTable tabId="8" name="PivotTable4"/>
    <pivotTable tabId="8" name="PivotTable5"/>
  </pivotTables>
  <data>
    <tabular pivotCacheId="1621664437">
      <items count="6">
        <i x="4" s="1"/>
        <i x="1" s="1"/>
        <i x="3" s="1"/>
        <i x="2" s="1"/>
        <i x="0" s="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Category 1" xr10:uid="{E4B3A768-335D-4174-8A78-9DE1831959D5}" cache="Slicer_Product_Category" caption="Product_Category" rowHeight="234950"/>
  <slicer name="Region" xr10:uid="{C3655D39-6263-4F70-9CA1-77770033FAAB}" cache="Slicer_Region1" caption="Region" rowHeight="23495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4"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47"/>
  <sheetViews>
    <sheetView topLeftCell="A2" workbookViewId="0">
      <selection activeCell="A2" sqref="A2"/>
    </sheetView>
  </sheetViews>
  <sheetFormatPr defaultColWidth="14.44140625" defaultRowHeight="15" customHeight="1" x14ac:dyDescent="0.3"/>
  <cols>
    <col min="1" max="1" width="74.88671875" customWidth="1"/>
    <col min="2" max="26" width="8.6640625" customWidth="1"/>
  </cols>
  <sheetData>
    <row r="1" spans="1:26" ht="14.4" x14ac:dyDescent="0.3">
      <c r="A1" s="1" t="s">
        <v>0</v>
      </c>
      <c r="B1" s="2"/>
      <c r="C1" s="2"/>
      <c r="D1" s="2"/>
      <c r="E1" s="2"/>
      <c r="F1" s="2"/>
      <c r="G1" s="2"/>
      <c r="H1" s="2"/>
      <c r="I1" s="2"/>
      <c r="J1" s="2"/>
      <c r="K1" s="2"/>
      <c r="L1" s="2"/>
      <c r="M1" s="2"/>
      <c r="N1" s="2"/>
      <c r="O1" s="2"/>
      <c r="P1" s="2"/>
      <c r="Q1" s="2"/>
      <c r="R1" s="2"/>
      <c r="S1" s="2"/>
      <c r="T1" s="2"/>
      <c r="U1" s="2"/>
      <c r="V1" s="2"/>
      <c r="W1" s="2"/>
      <c r="X1" s="2"/>
      <c r="Y1" s="2"/>
      <c r="Z1" s="2"/>
    </row>
    <row r="2" spans="1:26" ht="409.6" x14ac:dyDescent="0.3">
      <c r="A2" s="6" t="s">
        <v>1</v>
      </c>
      <c r="B2" s="2"/>
      <c r="C2" s="2"/>
      <c r="D2" s="2"/>
      <c r="E2" s="2"/>
      <c r="F2" s="2"/>
      <c r="G2" s="2"/>
      <c r="H2" s="2"/>
      <c r="I2" s="2"/>
      <c r="J2" s="2"/>
      <c r="K2" s="2"/>
      <c r="L2" s="2"/>
      <c r="M2" s="2"/>
      <c r="N2" s="2"/>
      <c r="O2" s="2"/>
      <c r="P2" s="2"/>
      <c r="Q2" s="2"/>
      <c r="R2" s="2"/>
      <c r="S2" s="2"/>
      <c r="T2" s="2"/>
      <c r="U2" s="2"/>
      <c r="V2" s="2"/>
      <c r="W2" s="2"/>
      <c r="X2" s="2"/>
      <c r="Y2" s="2"/>
      <c r="Z2" s="2"/>
    </row>
    <row r="3" spans="1:26" ht="14.4" x14ac:dyDescent="0.3">
      <c r="A3" s="2"/>
      <c r="B3" s="2"/>
      <c r="C3" s="2"/>
      <c r="D3" s="2"/>
      <c r="E3" s="2"/>
      <c r="F3" s="2"/>
      <c r="G3" s="2"/>
      <c r="H3" s="2"/>
      <c r="I3" s="2"/>
      <c r="J3" s="2"/>
      <c r="K3" s="2"/>
      <c r="L3" s="2"/>
      <c r="M3" s="2"/>
      <c r="N3" s="2"/>
      <c r="O3" s="2"/>
      <c r="P3" s="2"/>
      <c r="Q3" s="2"/>
      <c r="R3" s="2"/>
      <c r="S3" s="2"/>
      <c r="T3" s="2"/>
      <c r="U3" s="2"/>
      <c r="V3" s="2"/>
      <c r="W3" s="2"/>
      <c r="X3" s="2"/>
      <c r="Y3" s="2"/>
      <c r="Z3" s="2"/>
    </row>
    <row r="4" spans="1:26" ht="15.75" customHeight="1" x14ac:dyDescent="0.3">
      <c r="A4" s="2"/>
      <c r="B4" s="2"/>
      <c r="C4" s="2"/>
      <c r="D4" s="2"/>
      <c r="E4" s="2"/>
      <c r="F4" s="2"/>
      <c r="G4" s="2"/>
      <c r="H4" s="2"/>
      <c r="I4" s="2"/>
      <c r="J4" s="2"/>
      <c r="K4" s="2"/>
      <c r="L4" s="2"/>
      <c r="M4" s="2"/>
      <c r="N4" s="2"/>
      <c r="O4" s="2"/>
      <c r="P4" s="2"/>
      <c r="Q4" s="2"/>
      <c r="R4" s="2"/>
      <c r="S4" s="2"/>
      <c r="T4" s="2"/>
      <c r="U4" s="2"/>
      <c r="V4" s="2"/>
      <c r="W4" s="2"/>
      <c r="X4" s="2"/>
      <c r="Y4" s="2"/>
      <c r="Z4" s="2"/>
    </row>
    <row r="5" spans="1:26" ht="15.75" customHeight="1" x14ac:dyDescent="0.3">
      <c r="A5" s="2"/>
      <c r="B5" s="2"/>
      <c r="C5" s="2"/>
      <c r="D5" s="2"/>
      <c r="E5" s="2"/>
      <c r="F5" s="2"/>
      <c r="G5" s="2"/>
      <c r="H5" s="2"/>
      <c r="I5" s="2"/>
      <c r="J5" s="2"/>
      <c r="K5" s="2"/>
      <c r="L5" s="2"/>
      <c r="M5" s="2"/>
      <c r="N5" s="2"/>
      <c r="O5" s="2"/>
      <c r="P5" s="2"/>
      <c r="Q5" s="2"/>
      <c r="R5" s="2"/>
      <c r="S5" s="2"/>
      <c r="T5" s="2"/>
      <c r="U5" s="2"/>
      <c r="V5" s="2"/>
      <c r="W5" s="2"/>
      <c r="X5" s="2"/>
      <c r="Y5" s="2"/>
      <c r="Z5" s="2"/>
    </row>
    <row r="6" spans="1:26" ht="15.75" customHeight="1" x14ac:dyDescent="0.3">
      <c r="A6" s="2"/>
      <c r="B6" s="2"/>
      <c r="C6" s="2"/>
      <c r="D6" s="2"/>
      <c r="E6" s="2"/>
      <c r="F6" s="2"/>
      <c r="G6" s="2"/>
      <c r="H6" s="2"/>
      <c r="I6" s="2"/>
      <c r="J6" s="2"/>
      <c r="K6" s="2"/>
      <c r="L6" s="2"/>
      <c r="M6" s="2"/>
      <c r="N6" s="2"/>
      <c r="O6" s="2"/>
      <c r="P6" s="2"/>
      <c r="Q6" s="2"/>
      <c r="R6" s="2"/>
      <c r="S6" s="2"/>
      <c r="T6" s="2"/>
      <c r="U6" s="2"/>
      <c r="V6" s="2"/>
      <c r="W6" s="2"/>
      <c r="X6" s="2"/>
      <c r="Y6" s="2"/>
      <c r="Z6" s="2"/>
    </row>
    <row r="7" spans="1:26" ht="15.75" customHeight="1" x14ac:dyDescent="0.3">
      <c r="A7" s="2"/>
      <c r="B7" s="2"/>
      <c r="C7" s="2"/>
      <c r="D7" s="2"/>
      <c r="E7" s="2"/>
      <c r="F7" s="2"/>
      <c r="G7" s="2"/>
      <c r="H7" s="2"/>
      <c r="I7" s="2"/>
      <c r="J7" s="2"/>
      <c r="K7" s="2"/>
      <c r="L7" s="2"/>
      <c r="M7" s="2"/>
      <c r="N7" s="2"/>
      <c r="O7" s="2"/>
      <c r="P7" s="2"/>
      <c r="Q7" s="2"/>
      <c r="R7" s="2"/>
      <c r="S7" s="2"/>
      <c r="T7" s="2"/>
      <c r="U7" s="2"/>
      <c r="V7" s="2"/>
      <c r="W7" s="2"/>
      <c r="X7" s="2"/>
      <c r="Y7" s="2"/>
      <c r="Z7" s="2"/>
    </row>
    <row r="8" spans="1:26" ht="15.75" customHeight="1" x14ac:dyDescent="0.3">
      <c r="A8" s="2"/>
      <c r="B8" s="2"/>
      <c r="C8" s="2"/>
      <c r="D8" s="2"/>
      <c r="E8" s="2"/>
      <c r="F8" s="2"/>
      <c r="G8" s="2"/>
      <c r="H8" s="2"/>
      <c r="I8" s="2"/>
      <c r="J8" s="2"/>
      <c r="K8" s="2"/>
      <c r="L8" s="2"/>
      <c r="M8" s="2"/>
      <c r="N8" s="2"/>
      <c r="O8" s="2"/>
      <c r="P8" s="2"/>
      <c r="Q8" s="2"/>
      <c r="R8" s="2"/>
      <c r="S8" s="2"/>
      <c r="T8" s="2"/>
      <c r="U8" s="2"/>
      <c r="V8" s="2"/>
      <c r="W8" s="2"/>
      <c r="X8" s="2"/>
      <c r="Y8" s="2"/>
      <c r="Z8" s="2"/>
    </row>
    <row r="9" spans="1:26" ht="15.75" customHeight="1" x14ac:dyDescent="0.3">
      <c r="A9" s="2"/>
      <c r="B9" s="2"/>
      <c r="C9" s="2"/>
      <c r="D9" s="2"/>
      <c r="E9" s="2"/>
      <c r="F9" s="2"/>
      <c r="G9" s="2"/>
      <c r="H9" s="2"/>
      <c r="I9" s="2"/>
      <c r="J9" s="2"/>
      <c r="K9" s="2"/>
      <c r="L9" s="2"/>
      <c r="M9" s="2"/>
      <c r="N9" s="2"/>
      <c r="O9" s="2"/>
      <c r="P9" s="2"/>
      <c r="Q9" s="2"/>
      <c r="R9" s="2"/>
      <c r="S9" s="2"/>
      <c r="T9" s="2"/>
      <c r="U9" s="2"/>
      <c r="V9" s="2"/>
      <c r="W9" s="2"/>
      <c r="X9" s="2"/>
      <c r="Y9" s="2"/>
      <c r="Z9" s="2"/>
    </row>
    <row r="10" spans="1:26" ht="15.75" customHeight="1" x14ac:dyDescent="0.3">
      <c r="A10" s="2"/>
      <c r="B10" s="2"/>
      <c r="C10" s="2"/>
      <c r="D10" s="2"/>
      <c r="E10" s="2"/>
      <c r="F10" s="2"/>
      <c r="G10" s="2"/>
      <c r="H10" s="2"/>
      <c r="I10" s="2"/>
      <c r="J10" s="2"/>
      <c r="K10" s="2"/>
      <c r="L10" s="2"/>
      <c r="M10" s="2"/>
      <c r="N10" s="2"/>
      <c r="O10" s="2"/>
      <c r="P10" s="2"/>
      <c r="Q10" s="2"/>
      <c r="R10" s="2"/>
      <c r="S10" s="2"/>
      <c r="T10" s="2"/>
      <c r="U10" s="2"/>
      <c r="V10" s="2"/>
      <c r="W10" s="2"/>
      <c r="X10" s="2"/>
      <c r="Y10" s="2"/>
      <c r="Z10" s="2"/>
    </row>
    <row r="11" spans="1:26" ht="15.75" customHeight="1" x14ac:dyDescent="0.3">
      <c r="A11" s="2"/>
      <c r="B11" s="2"/>
      <c r="C11" s="2"/>
      <c r="D11" s="2"/>
      <c r="E11" s="2"/>
      <c r="F11" s="2"/>
      <c r="G11" s="2"/>
      <c r="H11" s="2"/>
      <c r="I11" s="2"/>
      <c r="J11" s="2"/>
      <c r="K11" s="2"/>
      <c r="L11" s="2"/>
      <c r="M11" s="2"/>
      <c r="N11" s="2"/>
      <c r="O11" s="2"/>
      <c r="P11" s="2"/>
      <c r="Q11" s="2"/>
      <c r="R11" s="2"/>
      <c r="S11" s="2"/>
      <c r="T11" s="2"/>
      <c r="U11" s="2"/>
      <c r="V11" s="2"/>
      <c r="W11" s="2"/>
      <c r="X11" s="2"/>
      <c r="Y11" s="2"/>
      <c r="Z11" s="2"/>
    </row>
    <row r="12" spans="1:26" ht="15.75" customHeight="1" x14ac:dyDescent="0.3">
      <c r="A12" s="2"/>
      <c r="B12" s="2"/>
      <c r="C12" s="2"/>
      <c r="D12" s="2"/>
      <c r="E12" s="2"/>
      <c r="F12" s="2"/>
      <c r="G12" s="2"/>
      <c r="H12" s="2"/>
      <c r="I12" s="2"/>
      <c r="J12" s="2"/>
      <c r="K12" s="2"/>
      <c r="L12" s="2"/>
      <c r="M12" s="2"/>
      <c r="N12" s="2"/>
      <c r="O12" s="2"/>
      <c r="P12" s="2"/>
      <c r="Q12" s="2"/>
      <c r="R12" s="2"/>
      <c r="S12" s="2"/>
      <c r="T12" s="2"/>
      <c r="U12" s="2"/>
      <c r="V12" s="2"/>
      <c r="W12" s="2"/>
      <c r="X12" s="2"/>
      <c r="Y12" s="2"/>
      <c r="Z12" s="2"/>
    </row>
    <row r="13" spans="1:26" ht="15.75" customHeight="1" x14ac:dyDescent="0.3">
      <c r="A13" s="2"/>
      <c r="B13" s="2"/>
      <c r="C13" s="2"/>
      <c r="D13" s="2"/>
      <c r="E13" s="2"/>
      <c r="F13" s="2"/>
      <c r="G13" s="2"/>
      <c r="H13" s="2"/>
      <c r="I13" s="2"/>
      <c r="J13" s="2"/>
      <c r="K13" s="2"/>
      <c r="L13" s="2"/>
      <c r="M13" s="2"/>
      <c r="N13" s="2"/>
      <c r="O13" s="2"/>
      <c r="P13" s="2"/>
      <c r="Q13" s="2"/>
      <c r="R13" s="2"/>
      <c r="S13" s="2"/>
      <c r="T13" s="2"/>
      <c r="U13" s="2"/>
      <c r="V13" s="2"/>
      <c r="W13" s="2"/>
      <c r="X13" s="2"/>
      <c r="Y13" s="2"/>
      <c r="Z13" s="2"/>
    </row>
    <row r="14" spans="1:26" ht="15.75" customHeight="1" x14ac:dyDescent="0.3">
      <c r="A14" s="2"/>
      <c r="B14" s="2"/>
      <c r="C14" s="2"/>
      <c r="D14" s="2"/>
      <c r="E14" s="2"/>
      <c r="F14" s="2"/>
      <c r="G14" s="2"/>
      <c r="H14" s="2"/>
      <c r="I14" s="2"/>
      <c r="J14" s="2"/>
      <c r="K14" s="2"/>
      <c r="L14" s="2"/>
      <c r="M14" s="2"/>
      <c r="N14" s="2"/>
      <c r="O14" s="2"/>
      <c r="P14" s="2"/>
      <c r="Q14" s="2"/>
      <c r="R14" s="2"/>
      <c r="S14" s="2"/>
      <c r="T14" s="2"/>
      <c r="U14" s="2"/>
      <c r="V14" s="2"/>
      <c r="W14" s="2"/>
      <c r="X14" s="2"/>
      <c r="Y14" s="2"/>
      <c r="Z14" s="2"/>
    </row>
    <row r="15" spans="1:26" ht="15.75" customHeight="1" x14ac:dyDescent="0.3">
      <c r="A15" s="2"/>
      <c r="B15" s="2"/>
      <c r="C15" s="2"/>
      <c r="D15" s="2"/>
      <c r="E15" s="2"/>
      <c r="F15" s="2"/>
      <c r="G15" s="2"/>
      <c r="H15" s="2"/>
      <c r="I15" s="2"/>
      <c r="J15" s="2"/>
      <c r="K15" s="2"/>
      <c r="L15" s="2"/>
      <c r="M15" s="2"/>
      <c r="N15" s="2"/>
      <c r="O15" s="2"/>
      <c r="P15" s="2"/>
      <c r="Q15" s="2"/>
      <c r="R15" s="2"/>
      <c r="S15" s="2"/>
      <c r="T15" s="2"/>
      <c r="U15" s="2"/>
      <c r="V15" s="2"/>
      <c r="W15" s="2"/>
      <c r="X15" s="2"/>
      <c r="Y15" s="2"/>
      <c r="Z15" s="2"/>
    </row>
    <row r="16" spans="1:26" ht="15.75" customHeight="1" x14ac:dyDescent="0.3">
      <c r="A16" s="2"/>
      <c r="B16" s="2"/>
      <c r="C16" s="2"/>
      <c r="D16" s="2"/>
      <c r="E16" s="2"/>
      <c r="F16" s="2"/>
      <c r="G16" s="2"/>
      <c r="H16" s="2"/>
      <c r="I16" s="2"/>
      <c r="J16" s="2"/>
      <c r="K16" s="2"/>
      <c r="L16" s="2"/>
      <c r="M16" s="2"/>
      <c r="N16" s="2"/>
      <c r="O16" s="2"/>
      <c r="P16" s="2"/>
      <c r="Q16" s="2"/>
      <c r="R16" s="2"/>
      <c r="S16" s="2"/>
      <c r="T16" s="2"/>
      <c r="U16" s="2"/>
      <c r="V16" s="2"/>
      <c r="W16" s="2"/>
      <c r="X16" s="2"/>
      <c r="Y16" s="2"/>
      <c r="Z16" s="2"/>
    </row>
    <row r="17" spans="1:26" ht="15.75" customHeight="1" x14ac:dyDescent="0.3">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ht="15.75" customHeight="1" x14ac:dyDescent="0.3">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ht="15.75" customHeight="1" x14ac:dyDescent="0.3">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ht="15.75" customHeight="1" x14ac:dyDescent="0.3">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5.75" customHeight="1" x14ac:dyDescent="0.3">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5.75" customHeight="1" x14ac:dyDescent="0.3">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5.75" customHeight="1" x14ac:dyDescent="0.3">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5.75" customHeight="1" x14ac:dyDescent="0.3">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5.75" customHeight="1" x14ac:dyDescent="0.3">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5.75" customHeight="1" x14ac:dyDescent="0.3">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5.75" customHeight="1" x14ac:dyDescent="0.3">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5.75" customHeight="1" x14ac:dyDescent="0.3">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5.75" customHeight="1" x14ac:dyDescent="0.3">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5.75" customHeight="1" x14ac:dyDescent="0.3">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5.75" customHeight="1" x14ac:dyDescent="0.3">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5.75" customHeight="1" x14ac:dyDescent="0.3">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5.75" customHeight="1" x14ac:dyDescent="0.3">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5.75" customHeight="1" x14ac:dyDescent="0.3">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5.75" customHeight="1" x14ac:dyDescent="0.3">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5.75" customHeight="1" x14ac:dyDescent="0.3">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5.75" customHeight="1" x14ac:dyDescent="0.3">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5.75" customHeight="1" x14ac:dyDescent="0.3">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5.75" customHeight="1" x14ac:dyDescent="0.3">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75" customHeight="1" x14ac:dyDescent="0.3">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75" customHeight="1" x14ac:dyDescent="0.3">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75" customHeight="1" x14ac:dyDescent="0.3">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75" customHeight="1" x14ac:dyDescent="0.3">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75" customHeight="1" x14ac:dyDescent="0.3">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75" customHeight="1" x14ac:dyDescent="0.3">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75" customHeight="1" x14ac:dyDescent="0.3">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x14ac:dyDescent="0.3">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x14ac:dyDescent="0.3">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x14ac:dyDescent="0.3">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x14ac:dyDescent="0.3">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x14ac:dyDescent="0.3">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x14ac:dyDescent="0.3">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x14ac:dyDescent="0.3">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x14ac:dyDescent="0.3">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x14ac:dyDescent="0.3">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x14ac:dyDescent="0.3">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x14ac:dyDescent="0.3">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x14ac:dyDescent="0.3">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x14ac:dyDescent="0.3">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x14ac:dyDescent="0.3">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x14ac:dyDescent="0.3">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x14ac:dyDescent="0.3">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x14ac:dyDescent="0.3">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x14ac:dyDescent="0.3">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x14ac:dyDescent="0.3">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x14ac:dyDescent="0.3">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x14ac:dyDescent="0.3">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x14ac:dyDescent="0.3">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x14ac:dyDescent="0.3">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x14ac:dyDescent="0.3">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x14ac:dyDescent="0.3">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x14ac:dyDescent="0.3">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x14ac:dyDescent="0.3">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x14ac:dyDescent="0.3">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x14ac:dyDescent="0.3">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x14ac:dyDescent="0.3">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x14ac:dyDescent="0.3">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x14ac:dyDescent="0.3">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x14ac:dyDescent="0.3">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x14ac:dyDescent="0.3">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x14ac:dyDescent="0.3">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x14ac:dyDescent="0.3">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x14ac:dyDescent="0.3">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x14ac:dyDescent="0.3">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x14ac:dyDescent="0.3">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x14ac:dyDescent="0.3">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x14ac:dyDescent="0.3">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x14ac:dyDescent="0.3">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x14ac:dyDescent="0.3">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x14ac:dyDescent="0.3">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x14ac:dyDescent="0.3">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x14ac:dyDescent="0.3">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x14ac:dyDescent="0.3">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x14ac:dyDescent="0.3">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x14ac:dyDescent="0.3">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x14ac:dyDescent="0.3">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x14ac:dyDescent="0.3">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x14ac:dyDescent="0.3">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x14ac:dyDescent="0.3">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x14ac:dyDescent="0.3">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x14ac:dyDescent="0.3">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x14ac:dyDescent="0.3">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x14ac:dyDescent="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x14ac:dyDescent="0.3">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x14ac:dyDescent="0.3">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x14ac:dyDescent="0.3">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x14ac:dyDescent="0.3">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x14ac:dyDescent="0.3">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x14ac:dyDescent="0.3">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x14ac:dyDescent="0.3">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x14ac:dyDescent="0.3">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x14ac:dyDescent="0.3">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x14ac:dyDescent="0.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x14ac:dyDescent="0.3">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x14ac:dyDescent="0.3">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x14ac:dyDescent="0.3">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x14ac:dyDescent="0.3">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x14ac:dyDescent="0.3">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x14ac:dyDescent="0.3">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x14ac:dyDescent="0.3">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x14ac:dyDescent="0.3">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x14ac:dyDescent="0.3">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x14ac:dyDescent="0.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x14ac:dyDescent="0.3">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x14ac:dyDescent="0.3">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x14ac:dyDescent="0.3">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x14ac:dyDescent="0.3">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x14ac:dyDescent="0.3">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x14ac:dyDescent="0.3">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x14ac:dyDescent="0.3">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x14ac:dyDescent="0.3">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x14ac:dyDescent="0.3">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x14ac:dyDescent="0.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x14ac:dyDescent="0.3">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x14ac:dyDescent="0.3">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x14ac:dyDescent="0.3">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x14ac:dyDescent="0.3">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x14ac:dyDescent="0.3">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x14ac:dyDescent="0.3">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x14ac:dyDescent="0.3">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x14ac:dyDescent="0.3">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x14ac:dyDescent="0.3">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x14ac:dyDescent="0.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x14ac:dyDescent="0.3">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x14ac:dyDescent="0.3">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x14ac:dyDescent="0.3">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x14ac:dyDescent="0.3">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x14ac:dyDescent="0.3">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x14ac:dyDescent="0.3">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x14ac:dyDescent="0.3">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x14ac:dyDescent="0.3">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x14ac:dyDescent="0.3">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x14ac:dyDescent="0.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x14ac:dyDescent="0.3">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x14ac:dyDescent="0.3">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x14ac:dyDescent="0.3">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x14ac:dyDescent="0.3">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x14ac:dyDescent="0.3">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x14ac:dyDescent="0.3">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x14ac:dyDescent="0.3">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x14ac:dyDescent="0.3">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x14ac:dyDescent="0.3">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x14ac:dyDescent="0.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x14ac:dyDescent="0.3">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x14ac:dyDescent="0.3">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x14ac:dyDescent="0.3">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x14ac:dyDescent="0.3">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x14ac:dyDescent="0.3">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x14ac:dyDescent="0.3">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x14ac:dyDescent="0.3">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x14ac:dyDescent="0.3">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x14ac:dyDescent="0.3">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x14ac:dyDescent="0.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x14ac:dyDescent="0.3">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x14ac:dyDescent="0.3">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x14ac:dyDescent="0.3">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x14ac:dyDescent="0.3">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x14ac:dyDescent="0.3">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x14ac:dyDescent="0.3">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x14ac:dyDescent="0.3">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x14ac:dyDescent="0.3">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x14ac:dyDescent="0.3">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x14ac:dyDescent="0.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x14ac:dyDescent="0.3">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x14ac:dyDescent="0.3">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x14ac:dyDescent="0.3">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x14ac:dyDescent="0.3">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x14ac:dyDescent="0.3">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x14ac:dyDescent="0.3">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x14ac:dyDescent="0.3">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x14ac:dyDescent="0.3">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x14ac:dyDescent="0.3">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x14ac:dyDescent="0.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x14ac:dyDescent="0.3">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x14ac:dyDescent="0.3">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x14ac:dyDescent="0.3">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x14ac:dyDescent="0.3">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x14ac:dyDescent="0.3">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x14ac:dyDescent="0.3">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x14ac:dyDescent="0.3">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x14ac:dyDescent="0.3">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x14ac:dyDescent="0.3">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x14ac:dyDescent="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x14ac:dyDescent="0.3">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x14ac:dyDescent="0.3">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x14ac:dyDescent="0.3">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x14ac:dyDescent="0.3">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x14ac:dyDescent="0.3">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x14ac:dyDescent="0.3">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x14ac:dyDescent="0.3">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x14ac:dyDescent="0.3">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x14ac:dyDescent="0.3">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x14ac:dyDescent="0.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x14ac:dyDescent="0.3">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x14ac:dyDescent="0.3">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x14ac:dyDescent="0.3">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x14ac:dyDescent="0.3">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x14ac:dyDescent="0.3">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x14ac:dyDescent="0.3">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x14ac:dyDescent="0.3">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x14ac:dyDescent="0.3">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x14ac:dyDescent="0.3">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x14ac:dyDescent="0.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x14ac:dyDescent="0.3">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x14ac:dyDescent="0.3">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x14ac:dyDescent="0.3">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x14ac:dyDescent="0.3">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x14ac:dyDescent="0.3">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x14ac:dyDescent="0.3">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x14ac:dyDescent="0.3">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x14ac:dyDescent="0.3">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x14ac:dyDescent="0.3">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x14ac:dyDescent="0.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x14ac:dyDescent="0.3">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x14ac:dyDescent="0.3">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x14ac:dyDescent="0.3">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x14ac:dyDescent="0.3">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x14ac:dyDescent="0.3">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x14ac:dyDescent="0.3">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x14ac:dyDescent="0.3">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x14ac:dyDescent="0.3">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x14ac:dyDescent="0.3">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x14ac:dyDescent="0.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x14ac:dyDescent="0.3">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x14ac:dyDescent="0.3">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x14ac:dyDescent="0.3">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x14ac:dyDescent="0.3">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x14ac:dyDescent="0.3">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x14ac:dyDescent="0.3">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x14ac:dyDescent="0.3">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x14ac:dyDescent="0.3">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x14ac:dyDescent="0.3">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x14ac:dyDescent="0.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x14ac:dyDescent="0.3">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x14ac:dyDescent="0.3">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x14ac:dyDescent="0.3">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x14ac:dyDescent="0.3">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x14ac:dyDescent="0.3">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x14ac:dyDescent="0.3">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x14ac:dyDescent="0.3">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x14ac:dyDescent="0.3">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x14ac:dyDescent="0.3">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x14ac:dyDescent="0.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x14ac:dyDescent="0.3">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x14ac:dyDescent="0.3">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x14ac:dyDescent="0.3">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x14ac:dyDescent="0.3">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x14ac:dyDescent="0.3">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x14ac:dyDescent="0.3">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x14ac:dyDescent="0.3">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x14ac:dyDescent="0.3">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x14ac:dyDescent="0.3">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x14ac:dyDescent="0.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x14ac:dyDescent="0.3">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x14ac:dyDescent="0.3">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x14ac:dyDescent="0.3">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x14ac:dyDescent="0.3">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x14ac:dyDescent="0.3">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x14ac:dyDescent="0.3">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x14ac:dyDescent="0.3">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x14ac:dyDescent="0.3">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x14ac:dyDescent="0.3">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x14ac:dyDescent="0.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x14ac:dyDescent="0.3">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x14ac:dyDescent="0.3">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x14ac:dyDescent="0.3">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x14ac:dyDescent="0.3">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x14ac:dyDescent="0.3">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x14ac:dyDescent="0.3">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x14ac:dyDescent="0.3">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x14ac:dyDescent="0.3">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x14ac:dyDescent="0.3">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x14ac:dyDescent="0.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x14ac:dyDescent="0.3">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x14ac:dyDescent="0.3">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x14ac:dyDescent="0.3">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x14ac:dyDescent="0.3">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x14ac:dyDescent="0.3">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x14ac:dyDescent="0.3">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x14ac:dyDescent="0.3">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x14ac:dyDescent="0.3">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x14ac:dyDescent="0.3">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x14ac:dyDescent="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x14ac:dyDescent="0.3">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x14ac:dyDescent="0.3">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x14ac:dyDescent="0.3">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x14ac:dyDescent="0.3">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x14ac:dyDescent="0.3">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x14ac:dyDescent="0.3">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x14ac:dyDescent="0.3">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x14ac:dyDescent="0.3">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x14ac:dyDescent="0.3">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x14ac:dyDescent="0.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x14ac:dyDescent="0.3">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x14ac:dyDescent="0.3">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x14ac:dyDescent="0.3">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x14ac:dyDescent="0.3">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x14ac:dyDescent="0.3">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x14ac:dyDescent="0.3">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x14ac:dyDescent="0.3">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x14ac:dyDescent="0.3">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x14ac:dyDescent="0.3">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x14ac:dyDescent="0.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x14ac:dyDescent="0.3">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x14ac:dyDescent="0.3">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x14ac:dyDescent="0.3">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x14ac:dyDescent="0.3">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x14ac:dyDescent="0.3">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x14ac:dyDescent="0.3">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x14ac:dyDescent="0.3">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x14ac:dyDescent="0.3">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x14ac:dyDescent="0.3">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x14ac:dyDescent="0.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x14ac:dyDescent="0.3">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x14ac:dyDescent="0.3">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x14ac:dyDescent="0.3">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x14ac:dyDescent="0.3">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x14ac:dyDescent="0.3">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x14ac:dyDescent="0.3">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x14ac:dyDescent="0.3">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x14ac:dyDescent="0.3">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x14ac:dyDescent="0.3">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x14ac:dyDescent="0.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x14ac:dyDescent="0.3">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x14ac:dyDescent="0.3">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x14ac:dyDescent="0.3">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x14ac:dyDescent="0.3">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x14ac:dyDescent="0.3">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x14ac:dyDescent="0.3">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x14ac:dyDescent="0.3">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x14ac:dyDescent="0.3">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x14ac:dyDescent="0.3">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x14ac:dyDescent="0.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x14ac:dyDescent="0.3">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x14ac:dyDescent="0.3">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x14ac:dyDescent="0.3">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x14ac:dyDescent="0.3">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x14ac:dyDescent="0.3">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x14ac:dyDescent="0.3">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x14ac:dyDescent="0.3">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x14ac:dyDescent="0.3">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x14ac:dyDescent="0.3">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x14ac:dyDescent="0.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x14ac:dyDescent="0.3">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x14ac:dyDescent="0.3">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x14ac:dyDescent="0.3">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x14ac:dyDescent="0.3">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x14ac:dyDescent="0.3">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x14ac:dyDescent="0.3">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x14ac:dyDescent="0.3">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x14ac:dyDescent="0.3">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x14ac:dyDescent="0.3">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x14ac:dyDescent="0.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x14ac:dyDescent="0.3">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x14ac:dyDescent="0.3">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x14ac:dyDescent="0.3">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x14ac:dyDescent="0.3">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x14ac:dyDescent="0.3">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x14ac:dyDescent="0.3">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x14ac:dyDescent="0.3">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x14ac:dyDescent="0.3">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x14ac:dyDescent="0.3">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x14ac:dyDescent="0.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x14ac:dyDescent="0.3">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x14ac:dyDescent="0.3">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x14ac:dyDescent="0.3">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x14ac:dyDescent="0.3">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x14ac:dyDescent="0.3">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x14ac:dyDescent="0.3">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x14ac:dyDescent="0.3">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x14ac:dyDescent="0.3">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x14ac:dyDescent="0.3">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x14ac:dyDescent="0.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x14ac:dyDescent="0.3">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x14ac:dyDescent="0.3">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x14ac:dyDescent="0.3">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x14ac:dyDescent="0.3">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x14ac:dyDescent="0.3">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x14ac:dyDescent="0.3">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x14ac:dyDescent="0.3">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x14ac:dyDescent="0.3">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x14ac:dyDescent="0.3">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x14ac:dyDescent="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x14ac:dyDescent="0.3">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x14ac:dyDescent="0.3">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x14ac:dyDescent="0.3">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x14ac:dyDescent="0.3">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x14ac:dyDescent="0.3">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x14ac:dyDescent="0.3">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x14ac:dyDescent="0.3">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x14ac:dyDescent="0.3">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x14ac:dyDescent="0.3">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x14ac:dyDescent="0.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x14ac:dyDescent="0.3">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x14ac:dyDescent="0.3">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x14ac:dyDescent="0.3">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x14ac:dyDescent="0.3">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x14ac:dyDescent="0.3">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x14ac:dyDescent="0.3">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x14ac:dyDescent="0.3">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x14ac:dyDescent="0.3">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x14ac:dyDescent="0.3">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x14ac:dyDescent="0.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x14ac:dyDescent="0.3">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x14ac:dyDescent="0.3">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x14ac:dyDescent="0.3">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x14ac:dyDescent="0.3">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x14ac:dyDescent="0.3">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x14ac:dyDescent="0.3">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x14ac:dyDescent="0.3">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x14ac:dyDescent="0.3">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x14ac:dyDescent="0.3">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x14ac:dyDescent="0.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x14ac:dyDescent="0.3">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x14ac:dyDescent="0.3">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x14ac:dyDescent="0.3">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x14ac:dyDescent="0.3">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x14ac:dyDescent="0.3">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x14ac:dyDescent="0.3">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x14ac:dyDescent="0.3">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x14ac:dyDescent="0.3">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x14ac:dyDescent="0.3">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x14ac:dyDescent="0.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x14ac:dyDescent="0.3">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x14ac:dyDescent="0.3">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x14ac:dyDescent="0.3">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x14ac:dyDescent="0.3">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x14ac:dyDescent="0.3">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x14ac:dyDescent="0.3">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x14ac:dyDescent="0.3">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x14ac:dyDescent="0.3">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x14ac:dyDescent="0.3">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x14ac:dyDescent="0.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x14ac:dyDescent="0.3">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x14ac:dyDescent="0.3">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x14ac:dyDescent="0.3">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x14ac:dyDescent="0.3">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x14ac:dyDescent="0.3">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x14ac:dyDescent="0.3">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x14ac:dyDescent="0.3">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x14ac:dyDescent="0.3">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x14ac:dyDescent="0.3">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x14ac:dyDescent="0.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x14ac:dyDescent="0.3">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x14ac:dyDescent="0.3">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x14ac:dyDescent="0.3">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x14ac:dyDescent="0.3">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x14ac:dyDescent="0.3">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x14ac:dyDescent="0.3">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x14ac:dyDescent="0.3">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x14ac:dyDescent="0.3">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x14ac:dyDescent="0.3">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x14ac:dyDescent="0.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x14ac:dyDescent="0.3">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x14ac:dyDescent="0.3">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x14ac:dyDescent="0.3">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x14ac:dyDescent="0.3">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x14ac:dyDescent="0.3">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x14ac:dyDescent="0.3">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x14ac:dyDescent="0.3">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x14ac:dyDescent="0.3">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x14ac:dyDescent="0.3">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x14ac:dyDescent="0.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x14ac:dyDescent="0.3">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x14ac:dyDescent="0.3">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x14ac:dyDescent="0.3">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x14ac:dyDescent="0.3">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x14ac:dyDescent="0.3">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x14ac:dyDescent="0.3">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x14ac:dyDescent="0.3">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x14ac:dyDescent="0.3">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x14ac:dyDescent="0.3">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x14ac:dyDescent="0.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x14ac:dyDescent="0.3">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x14ac:dyDescent="0.3">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x14ac:dyDescent="0.3">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x14ac:dyDescent="0.3">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x14ac:dyDescent="0.3">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x14ac:dyDescent="0.3">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x14ac:dyDescent="0.3">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x14ac:dyDescent="0.3">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x14ac:dyDescent="0.3">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x14ac:dyDescent="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x14ac:dyDescent="0.3">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x14ac:dyDescent="0.3">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x14ac:dyDescent="0.3">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x14ac:dyDescent="0.3">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x14ac:dyDescent="0.3">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x14ac:dyDescent="0.3">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x14ac:dyDescent="0.3">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x14ac:dyDescent="0.3">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x14ac:dyDescent="0.3">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x14ac:dyDescent="0.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x14ac:dyDescent="0.3">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x14ac:dyDescent="0.3">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x14ac:dyDescent="0.3">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x14ac:dyDescent="0.3">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x14ac:dyDescent="0.3">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x14ac:dyDescent="0.3">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x14ac:dyDescent="0.3">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x14ac:dyDescent="0.3">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x14ac:dyDescent="0.3">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x14ac:dyDescent="0.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x14ac:dyDescent="0.3">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x14ac:dyDescent="0.3">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x14ac:dyDescent="0.3">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x14ac:dyDescent="0.3">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x14ac:dyDescent="0.3">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x14ac:dyDescent="0.3">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x14ac:dyDescent="0.3">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x14ac:dyDescent="0.3">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x14ac:dyDescent="0.3">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x14ac:dyDescent="0.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x14ac:dyDescent="0.3">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x14ac:dyDescent="0.3">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x14ac:dyDescent="0.3">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x14ac:dyDescent="0.3">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x14ac:dyDescent="0.3">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x14ac:dyDescent="0.3">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x14ac:dyDescent="0.3">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x14ac:dyDescent="0.3">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x14ac:dyDescent="0.3">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x14ac:dyDescent="0.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x14ac:dyDescent="0.3">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x14ac:dyDescent="0.3">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x14ac:dyDescent="0.3">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x14ac:dyDescent="0.3">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x14ac:dyDescent="0.3">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x14ac:dyDescent="0.3">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x14ac:dyDescent="0.3">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x14ac:dyDescent="0.3">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x14ac:dyDescent="0.3">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x14ac:dyDescent="0.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x14ac:dyDescent="0.3">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x14ac:dyDescent="0.3">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x14ac:dyDescent="0.3">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x14ac:dyDescent="0.3">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x14ac:dyDescent="0.3">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x14ac:dyDescent="0.3">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x14ac:dyDescent="0.3">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x14ac:dyDescent="0.3">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x14ac:dyDescent="0.3">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x14ac:dyDescent="0.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x14ac:dyDescent="0.3">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x14ac:dyDescent="0.3">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x14ac:dyDescent="0.3">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x14ac:dyDescent="0.3">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x14ac:dyDescent="0.3">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x14ac:dyDescent="0.3">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x14ac:dyDescent="0.3">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x14ac:dyDescent="0.3">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x14ac:dyDescent="0.3">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x14ac:dyDescent="0.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x14ac:dyDescent="0.3">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x14ac:dyDescent="0.3">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x14ac:dyDescent="0.3">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x14ac:dyDescent="0.3">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x14ac:dyDescent="0.3">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x14ac:dyDescent="0.3">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x14ac:dyDescent="0.3">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x14ac:dyDescent="0.3">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x14ac:dyDescent="0.3">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x14ac:dyDescent="0.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x14ac:dyDescent="0.3">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x14ac:dyDescent="0.3">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x14ac:dyDescent="0.3">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x14ac:dyDescent="0.3">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x14ac:dyDescent="0.3">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x14ac:dyDescent="0.3">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x14ac:dyDescent="0.3">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x14ac:dyDescent="0.3">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x14ac:dyDescent="0.3">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x14ac:dyDescent="0.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x14ac:dyDescent="0.3">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x14ac:dyDescent="0.3">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x14ac:dyDescent="0.3">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x14ac:dyDescent="0.3">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x14ac:dyDescent="0.3">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x14ac:dyDescent="0.3">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x14ac:dyDescent="0.3">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x14ac:dyDescent="0.3">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x14ac:dyDescent="0.3">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x14ac:dyDescent="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x14ac:dyDescent="0.3">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x14ac:dyDescent="0.3">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x14ac:dyDescent="0.3">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x14ac:dyDescent="0.3">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x14ac:dyDescent="0.3">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x14ac:dyDescent="0.3">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x14ac:dyDescent="0.3">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x14ac:dyDescent="0.3">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x14ac:dyDescent="0.3">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x14ac:dyDescent="0.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x14ac:dyDescent="0.3">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x14ac:dyDescent="0.3">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x14ac:dyDescent="0.3">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x14ac:dyDescent="0.3">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x14ac:dyDescent="0.3">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x14ac:dyDescent="0.3">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x14ac:dyDescent="0.3">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x14ac:dyDescent="0.3">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x14ac:dyDescent="0.3">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x14ac:dyDescent="0.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x14ac:dyDescent="0.3">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x14ac:dyDescent="0.3">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x14ac:dyDescent="0.3">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x14ac:dyDescent="0.3">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x14ac:dyDescent="0.3">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x14ac:dyDescent="0.3">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x14ac:dyDescent="0.3">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x14ac:dyDescent="0.3">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x14ac:dyDescent="0.3">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x14ac:dyDescent="0.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x14ac:dyDescent="0.3">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x14ac:dyDescent="0.3">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x14ac:dyDescent="0.3">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x14ac:dyDescent="0.3">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x14ac:dyDescent="0.3">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x14ac:dyDescent="0.3">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x14ac:dyDescent="0.3">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x14ac:dyDescent="0.3">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x14ac:dyDescent="0.3">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x14ac:dyDescent="0.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x14ac:dyDescent="0.3">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x14ac:dyDescent="0.3">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x14ac:dyDescent="0.3">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x14ac:dyDescent="0.3">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x14ac:dyDescent="0.3">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x14ac:dyDescent="0.3">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x14ac:dyDescent="0.3">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x14ac:dyDescent="0.3">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x14ac:dyDescent="0.3">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x14ac:dyDescent="0.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x14ac:dyDescent="0.3">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x14ac:dyDescent="0.3">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x14ac:dyDescent="0.3">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x14ac:dyDescent="0.3">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x14ac:dyDescent="0.3">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x14ac:dyDescent="0.3">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x14ac:dyDescent="0.3">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x14ac:dyDescent="0.3">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x14ac:dyDescent="0.3">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x14ac:dyDescent="0.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x14ac:dyDescent="0.3">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x14ac:dyDescent="0.3">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x14ac:dyDescent="0.3">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x14ac:dyDescent="0.3">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x14ac:dyDescent="0.3">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x14ac:dyDescent="0.3">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x14ac:dyDescent="0.3">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x14ac:dyDescent="0.3">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x14ac:dyDescent="0.3">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x14ac:dyDescent="0.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x14ac:dyDescent="0.3">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x14ac:dyDescent="0.3">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x14ac:dyDescent="0.3">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x14ac:dyDescent="0.3">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x14ac:dyDescent="0.3">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x14ac:dyDescent="0.3">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x14ac:dyDescent="0.3">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x14ac:dyDescent="0.3">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x14ac:dyDescent="0.3">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x14ac:dyDescent="0.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x14ac:dyDescent="0.3">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x14ac:dyDescent="0.3">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x14ac:dyDescent="0.3">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x14ac:dyDescent="0.3">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x14ac:dyDescent="0.3">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x14ac:dyDescent="0.3">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x14ac:dyDescent="0.3">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x14ac:dyDescent="0.3">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x14ac:dyDescent="0.3">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x14ac:dyDescent="0.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x14ac:dyDescent="0.3">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x14ac:dyDescent="0.3">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x14ac:dyDescent="0.3">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x14ac:dyDescent="0.3">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x14ac:dyDescent="0.3">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x14ac:dyDescent="0.3">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x14ac:dyDescent="0.3">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x14ac:dyDescent="0.3">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x14ac:dyDescent="0.3">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x14ac:dyDescent="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x14ac:dyDescent="0.3">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x14ac:dyDescent="0.3">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x14ac:dyDescent="0.3">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x14ac:dyDescent="0.3">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x14ac:dyDescent="0.3">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x14ac:dyDescent="0.3">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x14ac:dyDescent="0.3">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x14ac:dyDescent="0.3">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x14ac:dyDescent="0.3">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x14ac:dyDescent="0.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x14ac:dyDescent="0.3">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x14ac:dyDescent="0.3">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x14ac:dyDescent="0.3">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x14ac:dyDescent="0.3">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x14ac:dyDescent="0.3">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x14ac:dyDescent="0.3">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x14ac:dyDescent="0.3">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x14ac:dyDescent="0.3">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x14ac:dyDescent="0.3">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x14ac:dyDescent="0.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x14ac:dyDescent="0.3">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x14ac:dyDescent="0.3">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x14ac:dyDescent="0.3">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x14ac:dyDescent="0.3">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x14ac:dyDescent="0.3">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x14ac:dyDescent="0.3">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x14ac:dyDescent="0.3">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x14ac:dyDescent="0.3">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x14ac:dyDescent="0.3">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x14ac:dyDescent="0.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x14ac:dyDescent="0.3">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x14ac:dyDescent="0.3">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x14ac:dyDescent="0.3">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x14ac:dyDescent="0.3">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x14ac:dyDescent="0.3">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x14ac:dyDescent="0.3">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x14ac:dyDescent="0.3">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x14ac:dyDescent="0.3">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x14ac:dyDescent="0.3">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x14ac:dyDescent="0.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x14ac:dyDescent="0.3">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x14ac:dyDescent="0.3">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x14ac:dyDescent="0.3">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x14ac:dyDescent="0.3">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x14ac:dyDescent="0.3">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x14ac:dyDescent="0.3">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x14ac:dyDescent="0.3">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x14ac:dyDescent="0.3">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x14ac:dyDescent="0.3">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x14ac:dyDescent="0.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x14ac:dyDescent="0.3">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x14ac:dyDescent="0.3">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x14ac:dyDescent="0.3">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x14ac:dyDescent="0.3">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x14ac:dyDescent="0.3">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x14ac:dyDescent="0.3">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x14ac:dyDescent="0.3">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x14ac:dyDescent="0.3">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x14ac:dyDescent="0.3">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x14ac:dyDescent="0.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x14ac:dyDescent="0.3">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x14ac:dyDescent="0.3">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x14ac:dyDescent="0.3">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x14ac:dyDescent="0.3">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x14ac:dyDescent="0.3">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x14ac:dyDescent="0.3">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x14ac:dyDescent="0.3">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x14ac:dyDescent="0.3">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x14ac:dyDescent="0.3">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x14ac:dyDescent="0.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x14ac:dyDescent="0.3">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x14ac:dyDescent="0.3">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x14ac:dyDescent="0.3">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x14ac:dyDescent="0.3">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x14ac:dyDescent="0.3">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x14ac:dyDescent="0.3">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x14ac:dyDescent="0.3">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x14ac:dyDescent="0.3">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x14ac:dyDescent="0.3">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x14ac:dyDescent="0.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x14ac:dyDescent="0.3">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x14ac:dyDescent="0.3">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x14ac:dyDescent="0.3">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x14ac:dyDescent="0.3">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x14ac:dyDescent="0.3">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x14ac:dyDescent="0.3">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x14ac:dyDescent="0.3">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x14ac:dyDescent="0.3">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x14ac:dyDescent="0.3">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x14ac:dyDescent="0.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x14ac:dyDescent="0.3">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x14ac:dyDescent="0.3">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x14ac:dyDescent="0.3">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x14ac:dyDescent="0.3">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x14ac:dyDescent="0.3">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x14ac:dyDescent="0.3">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x14ac:dyDescent="0.3">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x14ac:dyDescent="0.3">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x14ac:dyDescent="0.3">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x14ac:dyDescent="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x14ac:dyDescent="0.3">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x14ac:dyDescent="0.3">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x14ac:dyDescent="0.3">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x14ac:dyDescent="0.3">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x14ac:dyDescent="0.3">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x14ac:dyDescent="0.3">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x14ac:dyDescent="0.3">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x14ac:dyDescent="0.3">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x14ac:dyDescent="0.3">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x14ac:dyDescent="0.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x14ac:dyDescent="0.3">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x14ac:dyDescent="0.3">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x14ac:dyDescent="0.3">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x14ac:dyDescent="0.3">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x14ac:dyDescent="0.3">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x14ac:dyDescent="0.3">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x14ac:dyDescent="0.3">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x14ac:dyDescent="0.3">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x14ac:dyDescent="0.3">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x14ac:dyDescent="0.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x14ac:dyDescent="0.3">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x14ac:dyDescent="0.3">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x14ac:dyDescent="0.3">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x14ac:dyDescent="0.3">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x14ac:dyDescent="0.3">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x14ac:dyDescent="0.3">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x14ac:dyDescent="0.3">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x14ac:dyDescent="0.3">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x14ac:dyDescent="0.3">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x14ac:dyDescent="0.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x14ac:dyDescent="0.3">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x14ac:dyDescent="0.3">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x14ac:dyDescent="0.3">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x14ac:dyDescent="0.3">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x14ac:dyDescent="0.3">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x14ac:dyDescent="0.3">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x14ac:dyDescent="0.3">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x14ac:dyDescent="0.3">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x14ac:dyDescent="0.3">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x14ac:dyDescent="0.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x14ac:dyDescent="0.3">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x14ac:dyDescent="0.3">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x14ac:dyDescent="0.3">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x14ac:dyDescent="0.3">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x14ac:dyDescent="0.3">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x14ac:dyDescent="0.3">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x14ac:dyDescent="0.3">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x14ac:dyDescent="0.3">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x14ac:dyDescent="0.3">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x14ac:dyDescent="0.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x14ac:dyDescent="0.3">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x14ac:dyDescent="0.3">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x14ac:dyDescent="0.3">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x14ac:dyDescent="0.3">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x14ac:dyDescent="0.3">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x14ac:dyDescent="0.3">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x14ac:dyDescent="0.3">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x14ac:dyDescent="0.3">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x14ac:dyDescent="0.3">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x14ac:dyDescent="0.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x14ac:dyDescent="0.3">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x14ac:dyDescent="0.3">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x14ac:dyDescent="0.3">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x14ac:dyDescent="0.3">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x14ac:dyDescent="0.3">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x14ac:dyDescent="0.3">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x14ac:dyDescent="0.3">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x14ac:dyDescent="0.3">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x14ac:dyDescent="0.3">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x14ac:dyDescent="0.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x14ac:dyDescent="0.3">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x14ac:dyDescent="0.3">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x14ac:dyDescent="0.3">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x14ac:dyDescent="0.3">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x14ac:dyDescent="0.3">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x14ac:dyDescent="0.3">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x14ac:dyDescent="0.3">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x14ac:dyDescent="0.3">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x14ac:dyDescent="0.3">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x14ac:dyDescent="0.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x14ac:dyDescent="0.3">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x14ac:dyDescent="0.3">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x14ac:dyDescent="0.3">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x14ac:dyDescent="0.3">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x14ac:dyDescent="0.3">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x14ac:dyDescent="0.3">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x14ac:dyDescent="0.3">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x14ac:dyDescent="0.3">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x14ac:dyDescent="0.3">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x14ac:dyDescent="0.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x14ac:dyDescent="0.3">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x14ac:dyDescent="0.3">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x14ac:dyDescent="0.3">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x14ac:dyDescent="0.3">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x14ac:dyDescent="0.3">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x14ac:dyDescent="0.3">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x14ac:dyDescent="0.3">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x14ac:dyDescent="0.3">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x14ac:dyDescent="0.3">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x14ac:dyDescent="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x14ac:dyDescent="0.3">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x14ac:dyDescent="0.3">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x14ac:dyDescent="0.3">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x14ac:dyDescent="0.3">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x14ac:dyDescent="0.3">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x14ac:dyDescent="0.3">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x14ac:dyDescent="0.3">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x14ac:dyDescent="0.3">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x14ac:dyDescent="0.3">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x14ac:dyDescent="0.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x14ac:dyDescent="0.3">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x14ac:dyDescent="0.3">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x14ac:dyDescent="0.3">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x14ac:dyDescent="0.3">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x14ac:dyDescent="0.3">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x14ac:dyDescent="0.3">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x14ac:dyDescent="0.3">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x14ac:dyDescent="0.3">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x14ac:dyDescent="0.3">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x14ac:dyDescent="0.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x14ac:dyDescent="0.3">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x14ac:dyDescent="0.3"/>
    <row r="926" spans="1:26" ht="15.75" customHeight="1" x14ac:dyDescent="0.3"/>
    <row r="927" spans="1:26" ht="15.75" customHeight="1" x14ac:dyDescent="0.3"/>
    <row r="928" spans="1:26"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sheetData>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1ED5A1-AD46-41C7-B5EC-59F4056E9247}">
  <dimension ref="A1:B15"/>
  <sheetViews>
    <sheetView workbookViewId="0"/>
  </sheetViews>
  <sheetFormatPr defaultRowHeight="14.4" x14ac:dyDescent="0.3"/>
  <cols>
    <col min="1" max="1" width="18.109375" bestFit="1" customWidth="1"/>
  </cols>
  <sheetData>
    <row r="1" spans="1:2" x14ac:dyDescent="0.3">
      <c r="A1" s="14" t="s">
        <v>116</v>
      </c>
      <c r="B1" s="14"/>
    </row>
    <row r="3" spans="1:2" x14ac:dyDescent="0.3">
      <c r="A3" t="s">
        <v>117</v>
      </c>
      <c r="B3">
        <v>341.43505000000005</v>
      </c>
    </row>
    <row r="4" spans="1:2" x14ac:dyDescent="0.3">
      <c r="A4" t="s">
        <v>95</v>
      </c>
      <c r="B4">
        <v>9.6001196472332531</v>
      </c>
    </row>
    <row r="5" spans="1:2" x14ac:dyDescent="0.3">
      <c r="A5" t="s">
        <v>118</v>
      </c>
      <c r="B5">
        <v>332.255</v>
      </c>
    </row>
    <row r="6" spans="1:2" x14ac:dyDescent="0.3">
      <c r="A6" t="s">
        <v>119</v>
      </c>
      <c r="B6" t="e">
        <v>#N/A</v>
      </c>
    </row>
    <row r="7" spans="1:2" x14ac:dyDescent="0.3">
      <c r="A7" t="s">
        <v>120</v>
      </c>
      <c r="B7">
        <v>135.7661940552168</v>
      </c>
    </row>
    <row r="8" spans="1:2" x14ac:dyDescent="0.3">
      <c r="A8" t="s">
        <v>121</v>
      </c>
      <c r="B8">
        <v>18432.459448238787</v>
      </c>
    </row>
    <row r="9" spans="1:2" x14ac:dyDescent="0.3">
      <c r="A9" t="s">
        <v>122</v>
      </c>
      <c r="B9">
        <v>0.26450643813582442</v>
      </c>
    </row>
    <row r="10" spans="1:2" x14ac:dyDescent="0.3">
      <c r="A10" t="s">
        <v>123</v>
      </c>
      <c r="B10">
        <v>0.57339636063424715</v>
      </c>
    </row>
    <row r="11" spans="1:2" x14ac:dyDescent="0.3">
      <c r="A11" t="s">
        <v>124</v>
      </c>
      <c r="B11">
        <v>704.83</v>
      </c>
    </row>
    <row r="12" spans="1:2" x14ac:dyDescent="0.3">
      <c r="A12" t="s">
        <v>125</v>
      </c>
      <c r="B12">
        <v>64.63</v>
      </c>
    </row>
    <row r="13" spans="1:2" x14ac:dyDescent="0.3">
      <c r="A13" t="s">
        <v>126</v>
      </c>
      <c r="B13">
        <v>769.46</v>
      </c>
    </row>
    <row r="14" spans="1:2" x14ac:dyDescent="0.3">
      <c r="A14" t="s">
        <v>127</v>
      </c>
      <c r="B14">
        <v>68287.010000000009</v>
      </c>
    </row>
    <row r="15" spans="1:2" ht="15" thickBot="1" x14ac:dyDescent="0.35">
      <c r="A15" s="12" t="s">
        <v>128</v>
      </c>
      <c r="B15" s="12">
        <v>200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54A471-0E58-462E-B737-E36762232E96}">
  <dimension ref="A1:I18"/>
  <sheetViews>
    <sheetView workbookViewId="0"/>
  </sheetViews>
  <sheetFormatPr defaultRowHeight="14.4" x14ac:dyDescent="0.3"/>
  <cols>
    <col min="1" max="1" width="18" bestFit="1" customWidth="1"/>
    <col min="2" max="2" width="12" bestFit="1" customWidth="1"/>
    <col min="3" max="3" width="14.5546875" bestFit="1" customWidth="1"/>
    <col min="4" max="4" width="12.6640625" bestFit="1" customWidth="1"/>
    <col min="5" max="5" width="12" bestFit="1" customWidth="1"/>
    <col min="6" max="6" width="13.44140625" bestFit="1" customWidth="1"/>
    <col min="7" max="7" width="12" bestFit="1" customWidth="1"/>
    <col min="8" max="8" width="12.6640625" bestFit="1" customWidth="1"/>
    <col min="9" max="9" width="12.5546875" bestFit="1" customWidth="1"/>
  </cols>
  <sheetData>
    <row r="1" spans="1:9" x14ac:dyDescent="0.3">
      <c r="A1" t="s">
        <v>90</v>
      </c>
    </row>
    <row r="2" spans="1:9" ht="15" thickBot="1" x14ac:dyDescent="0.35"/>
    <row r="3" spans="1:9" x14ac:dyDescent="0.3">
      <c r="A3" s="14" t="s">
        <v>91</v>
      </c>
      <c r="B3" s="14"/>
    </row>
    <row r="4" spans="1:9" x14ac:dyDescent="0.3">
      <c r="A4" t="s">
        <v>92</v>
      </c>
      <c r="B4">
        <v>0.77340306414342619</v>
      </c>
    </row>
    <row r="5" spans="1:9" x14ac:dyDescent="0.3">
      <c r="A5" t="s">
        <v>93</v>
      </c>
      <c r="B5">
        <v>0.59815229962644056</v>
      </c>
    </row>
    <row r="6" spans="1:9" x14ac:dyDescent="0.3">
      <c r="A6" t="s">
        <v>94</v>
      </c>
      <c r="B6">
        <v>0.59612276578617007</v>
      </c>
    </row>
    <row r="7" spans="1:9" x14ac:dyDescent="0.3">
      <c r="A7" t="s">
        <v>95</v>
      </c>
      <c r="B7">
        <v>86.281230529665166</v>
      </c>
    </row>
    <row r="8" spans="1:9" ht="15" thickBot="1" x14ac:dyDescent="0.35">
      <c r="A8" s="12" t="s">
        <v>96</v>
      </c>
      <c r="B8" s="12">
        <v>200</v>
      </c>
    </row>
    <row r="10" spans="1:9" ht="15" thickBot="1" x14ac:dyDescent="0.35">
      <c r="A10" t="s">
        <v>97</v>
      </c>
    </row>
    <row r="11" spans="1:9" x14ac:dyDescent="0.3">
      <c r="A11" s="13"/>
      <c r="B11" s="13" t="s">
        <v>102</v>
      </c>
      <c r="C11" s="13" t="s">
        <v>103</v>
      </c>
      <c r="D11" s="13" t="s">
        <v>104</v>
      </c>
      <c r="E11" s="13" t="s">
        <v>105</v>
      </c>
      <c r="F11" s="13" t="s">
        <v>106</v>
      </c>
    </row>
    <row r="12" spans="1:9" x14ac:dyDescent="0.3">
      <c r="A12" t="s">
        <v>98</v>
      </c>
      <c r="B12">
        <v>1</v>
      </c>
      <c r="C12">
        <v>2194058.1833402822</v>
      </c>
      <c r="D12">
        <v>2194058.1833402822</v>
      </c>
      <c r="E12">
        <v>294.72398427548114</v>
      </c>
      <c r="F12">
        <v>4.6269367558910499E-41</v>
      </c>
    </row>
    <row r="13" spans="1:9" x14ac:dyDescent="0.3">
      <c r="A13" t="s">
        <v>99</v>
      </c>
      <c r="B13">
        <v>198</v>
      </c>
      <c r="C13">
        <v>1474001.2468592182</v>
      </c>
      <c r="D13">
        <v>7444.4507417132236</v>
      </c>
    </row>
    <row r="14" spans="1:9" ht="15" thickBot="1" x14ac:dyDescent="0.35">
      <c r="A14" s="12" t="s">
        <v>100</v>
      </c>
      <c r="B14" s="12">
        <v>199</v>
      </c>
      <c r="C14" s="12">
        <v>3668059.4301995002</v>
      </c>
      <c r="D14" s="12"/>
      <c r="E14" s="12"/>
      <c r="F14" s="12"/>
    </row>
    <row r="15" spans="1:9" ht="15" thickBot="1" x14ac:dyDescent="0.35"/>
    <row r="16" spans="1:9" x14ac:dyDescent="0.3">
      <c r="A16" s="13"/>
      <c r="B16" s="13" t="s">
        <v>107</v>
      </c>
      <c r="C16" s="13" t="s">
        <v>95</v>
      </c>
      <c r="D16" s="13" t="s">
        <v>108</v>
      </c>
      <c r="E16" s="13" t="s">
        <v>109</v>
      </c>
      <c r="F16" s="13" t="s">
        <v>110</v>
      </c>
      <c r="G16" s="13" t="s">
        <v>111</v>
      </c>
      <c r="H16" s="13" t="s">
        <v>112</v>
      </c>
      <c r="I16" s="13" t="s">
        <v>113</v>
      </c>
    </row>
    <row r="17" spans="1:9" x14ac:dyDescent="0.3">
      <c r="A17" t="s">
        <v>101</v>
      </c>
      <c r="B17">
        <v>-1.0315504901911368</v>
      </c>
      <c r="C17">
        <v>20.860617005445505</v>
      </c>
      <c r="D17">
        <v>-4.9449663445805959E-2</v>
      </c>
      <c r="E17">
        <v>0.96061079696907459</v>
      </c>
      <c r="F17">
        <v>-42.169051823378965</v>
      </c>
      <c r="G17">
        <v>40.105950842996691</v>
      </c>
      <c r="H17">
        <v>-42.169051823378965</v>
      </c>
      <c r="I17">
        <v>40.105950842996691</v>
      </c>
    </row>
    <row r="18" spans="1:9" ht="15" thickBot="1" x14ac:dyDescent="0.35">
      <c r="A18" s="12" t="s">
        <v>114</v>
      </c>
      <c r="B18" s="12">
        <v>0.35085598819512254</v>
      </c>
      <c r="C18" s="12">
        <v>2.0437188630135626E-2</v>
      </c>
      <c r="D18" s="12">
        <v>17.167527028535048</v>
      </c>
      <c r="E18" s="12">
        <v>4.6269367558907868E-41</v>
      </c>
      <c r="F18" s="12">
        <v>0.31055349501865764</v>
      </c>
      <c r="G18" s="12">
        <v>0.39115848137158743</v>
      </c>
      <c r="H18" s="12">
        <v>0.31055349501865764</v>
      </c>
      <c r="I18" s="12">
        <v>0.39115848137158743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7BFBF8-C3F3-4EE2-9F61-4285A91D72DB}">
  <dimension ref="A3:C18"/>
  <sheetViews>
    <sheetView workbookViewId="0">
      <selection activeCell="A3" sqref="A3:C18"/>
    </sheetView>
  </sheetViews>
  <sheetFormatPr defaultRowHeight="14.4" x14ac:dyDescent="0.3"/>
  <cols>
    <col min="1" max="1" width="12.5546875" bestFit="1" customWidth="1"/>
    <col min="2" max="2" width="11.6640625" bestFit="1" customWidth="1"/>
    <col min="3" max="4" width="11" bestFit="1" customWidth="1"/>
  </cols>
  <sheetData>
    <row r="3" spans="1:3" x14ac:dyDescent="0.3">
      <c r="A3" s="27" t="s">
        <v>131</v>
      </c>
      <c r="B3" t="s">
        <v>147</v>
      </c>
      <c r="C3" s="31" t="s">
        <v>148</v>
      </c>
    </row>
    <row r="4" spans="1:3" x14ac:dyDescent="0.3">
      <c r="A4" s="28" t="s">
        <v>132</v>
      </c>
      <c r="B4" s="29">
        <v>19029.96</v>
      </c>
      <c r="C4" s="32"/>
    </row>
    <row r="5" spans="1:3" x14ac:dyDescent="0.3">
      <c r="A5" s="28" t="s">
        <v>133</v>
      </c>
      <c r="B5" s="29">
        <v>3212.17</v>
      </c>
      <c r="C5" s="33">
        <f>GETPIVOTDATA("Sales",$A$3,"month","Apr-2025")-GETPIVOTDATA("Sales",$A$3,"month","Apr-2024")</f>
        <v>-15817.789999999999</v>
      </c>
    </row>
    <row r="6" spans="1:3" x14ac:dyDescent="0.3">
      <c r="A6" s="28" t="s">
        <v>134</v>
      </c>
      <c r="B6" s="29">
        <v>10091.699999999999</v>
      </c>
      <c r="C6" s="34">
        <f>GETPIVOTDATA("Sales",$A$3,"month","Aug-2024")-GETPIVOTDATA("Sales",$A$3,"month","Apr-2025")</f>
        <v>6879.5299999999988</v>
      </c>
    </row>
    <row r="7" spans="1:3" x14ac:dyDescent="0.3">
      <c r="A7" s="28" t="s">
        <v>135</v>
      </c>
      <c r="B7" s="29">
        <v>11120.04</v>
      </c>
      <c r="C7" s="34">
        <f>GETPIVOTDATA("Sales",$A$3,"month","Dec-2024")-GETPIVOTDATA("Sales",$A$3,"month","Aug-2024")</f>
        <v>1028.340000000002</v>
      </c>
    </row>
    <row r="8" spans="1:3" x14ac:dyDescent="0.3">
      <c r="A8" s="28" t="s">
        <v>136</v>
      </c>
      <c r="B8" s="29">
        <v>14006.359999999999</v>
      </c>
      <c r="C8" s="34">
        <f>GETPIVOTDATA("Sales",$A$3,"month","Feb-2025")-GETPIVOTDATA("Sales",$A$3,"month","Dec-2024")</f>
        <v>2886.3199999999979</v>
      </c>
    </row>
    <row r="9" spans="1:3" x14ac:dyDescent="0.3">
      <c r="A9" s="28" t="s">
        <v>137</v>
      </c>
      <c r="B9" s="29">
        <v>14914.650000000001</v>
      </c>
      <c r="C9" s="34">
        <f>GETPIVOTDATA("Sales",$A$3,"month","Jan-2025")-GETPIVOTDATA("Sales",$A$3,"month","Feb-2025")</f>
        <v>908.29000000000269</v>
      </c>
    </row>
    <row r="10" spans="1:3" x14ac:dyDescent="0.3">
      <c r="A10" s="28" t="s">
        <v>138</v>
      </c>
      <c r="B10" s="29">
        <v>11609.039999999999</v>
      </c>
      <c r="C10" s="34">
        <f>GETPIVOTDATA("Sales",$A$3,"month","Jul-2024")-GETPIVOTDATA("Sales",$A$3,"month","Jan-2025")</f>
        <v>-3305.6100000000024</v>
      </c>
    </row>
    <row r="11" spans="1:3" x14ac:dyDescent="0.3">
      <c r="A11" s="28" t="s">
        <v>139</v>
      </c>
      <c r="B11" s="29">
        <v>20187.509999999998</v>
      </c>
      <c r="C11" s="34">
        <f>GETPIVOTDATA("Sales",$A$3,"month","Jun-2024")-GETPIVOTDATA("Sales",$A$3,"month","Jul-2024")</f>
        <v>8578.4699999999993</v>
      </c>
    </row>
    <row r="12" spans="1:3" x14ac:dyDescent="0.3">
      <c r="A12" s="28" t="s">
        <v>140</v>
      </c>
      <c r="B12" s="29">
        <v>17655.219999999998</v>
      </c>
      <c r="C12" s="34">
        <f>GETPIVOTDATA("Sales",$A$3,"month","Mar-2025")-GETPIVOTDATA("Sales",$A$3,"month","Jun-2024")</f>
        <v>-2532.2900000000009</v>
      </c>
    </row>
    <row r="13" spans="1:3" x14ac:dyDescent="0.3">
      <c r="A13" s="28" t="s">
        <v>141</v>
      </c>
      <c r="B13" s="29">
        <v>18507.339999999997</v>
      </c>
      <c r="C13" s="34">
        <f>GETPIVOTDATA("Sales",$A$3,"month","May-2024")-GETPIVOTDATA("Sales",$A$3,"month","Mar-2025")</f>
        <v>852.11999999999898</v>
      </c>
    </row>
    <row r="14" spans="1:3" x14ac:dyDescent="0.3">
      <c r="A14" s="28" t="s">
        <v>142</v>
      </c>
      <c r="B14" s="29">
        <v>20135.030000000002</v>
      </c>
      <c r="C14" s="34">
        <f>GETPIVOTDATA("Sales",$A$3,"month","Nov-2024")-GETPIVOTDATA("Sales",$A$3,"month","May-2024")</f>
        <v>1627.690000000006</v>
      </c>
    </row>
    <row r="15" spans="1:3" x14ac:dyDescent="0.3">
      <c r="A15" s="28" t="s">
        <v>143</v>
      </c>
      <c r="B15" s="29">
        <v>14215.240000000002</v>
      </c>
      <c r="C15" s="34">
        <f>GETPIVOTDATA("Sales",$A$3,"month","Oct-2024")-GETPIVOTDATA("Sales",$A$3,"month","Nov-2024")</f>
        <v>-5919.7900000000009</v>
      </c>
    </row>
    <row r="16" spans="1:3" x14ac:dyDescent="0.3">
      <c r="A16" s="28" t="s">
        <v>144</v>
      </c>
      <c r="B16" s="29">
        <v>20533.499999999996</v>
      </c>
      <c r="C16" s="34">
        <f>GETPIVOTDATA("Sales",$A$3,"month","Sep-2024")-GETPIVOTDATA("Sales",$A$3,"month","Oct-2024")</f>
        <v>6318.2599999999948</v>
      </c>
    </row>
    <row r="17" spans="1:2" x14ac:dyDescent="0.3">
      <c r="A17" s="28" t="s">
        <v>145</v>
      </c>
      <c r="B17" s="29"/>
    </row>
    <row r="18" spans="1:2" x14ac:dyDescent="0.3">
      <c r="A18" s="28" t="s">
        <v>146</v>
      </c>
      <c r="B18" s="29">
        <v>195217.75999999998</v>
      </c>
    </row>
  </sheetData>
  <pageMargins left="0.7" right="0.7" top="0.75" bottom="0.75" header="0.3" footer="0.3"/>
  <pageSetup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29D940-F67D-44E1-B9C3-6C7018EA3828}">
  <dimension ref="A3:N32"/>
  <sheetViews>
    <sheetView workbookViewId="0">
      <selection activeCell="Q3" sqref="Q3"/>
    </sheetView>
  </sheetViews>
  <sheetFormatPr defaultRowHeight="14.4" x14ac:dyDescent="0.3"/>
  <cols>
    <col min="1" max="1" width="15.6640625" bestFit="1" customWidth="1"/>
    <col min="2" max="2" width="11.6640625" bestFit="1" customWidth="1"/>
  </cols>
  <sheetData>
    <row r="3" spans="1:14" x14ac:dyDescent="0.3">
      <c r="A3" s="27" t="s">
        <v>131</v>
      </c>
      <c r="B3" t="s">
        <v>147</v>
      </c>
      <c r="D3" s="19" t="s">
        <v>152</v>
      </c>
      <c r="E3" s="19"/>
      <c r="F3" s="19"/>
      <c r="G3" s="19"/>
      <c r="H3" s="19"/>
      <c r="I3" s="19"/>
      <c r="K3" s="30" t="s">
        <v>153</v>
      </c>
      <c r="L3" s="37"/>
      <c r="N3" s="30" t="s">
        <v>154</v>
      </c>
    </row>
    <row r="4" spans="1:14" x14ac:dyDescent="0.3">
      <c r="A4" s="28" t="s">
        <v>73</v>
      </c>
      <c r="B4" s="29">
        <v>5465.71</v>
      </c>
      <c r="K4" t="str">
        <f>INDEX(A4:A30,MATCH(GETPIVOTDATA("Sales",$A$3,"Customer_Name","James Wilson"),B4:B30,0))</f>
        <v>James Wilson</v>
      </c>
      <c r="N4" t="str" cm="1">
        <f t="array" ref="N4">_xlfn._xlws.FILTER(A4:A30,B4:B30=MAX(B4:B30))</f>
        <v>James Wilson</v>
      </c>
    </row>
    <row r="5" spans="1:14" x14ac:dyDescent="0.3">
      <c r="A5" s="28" t="s">
        <v>57</v>
      </c>
      <c r="B5" s="29">
        <v>11915.829999999998</v>
      </c>
    </row>
    <row r="6" spans="1:14" x14ac:dyDescent="0.3">
      <c r="A6" s="28" t="s">
        <v>58</v>
      </c>
      <c r="B6" s="29">
        <v>3819.1400000000003</v>
      </c>
    </row>
    <row r="7" spans="1:14" x14ac:dyDescent="0.3">
      <c r="A7" s="28" t="s">
        <v>44</v>
      </c>
      <c r="B7" s="29">
        <v>1672.88</v>
      </c>
    </row>
    <row r="8" spans="1:14" x14ac:dyDescent="0.3">
      <c r="A8" s="28" t="s">
        <v>38</v>
      </c>
      <c r="B8" s="29">
        <v>7020.3799999999992</v>
      </c>
    </row>
    <row r="9" spans="1:14" x14ac:dyDescent="0.3">
      <c r="A9" s="28" t="s">
        <v>40</v>
      </c>
      <c r="B9" s="29">
        <v>11398.32</v>
      </c>
    </row>
    <row r="10" spans="1:14" x14ac:dyDescent="0.3">
      <c r="A10" s="28" t="s">
        <v>68</v>
      </c>
      <c r="B10" s="29">
        <v>5014.96</v>
      </c>
    </row>
    <row r="11" spans="1:14" x14ac:dyDescent="0.3">
      <c r="A11" s="28" t="s">
        <v>63</v>
      </c>
      <c r="B11" s="29">
        <v>8543.9699999999993</v>
      </c>
    </row>
    <row r="12" spans="1:14" x14ac:dyDescent="0.3">
      <c r="A12" s="28" t="s">
        <v>12</v>
      </c>
      <c r="B12" s="29">
        <v>6255.7</v>
      </c>
    </row>
    <row r="13" spans="1:14" x14ac:dyDescent="0.3">
      <c r="A13" s="28" t="s">
        <v>19</v>
      </c>
      <c r="B13" s="29">
        <v>5615.2800000000007</v>
      </c>
    </row>
    <row r="14" spans="1:14" x14ac:dyDescent="0.3">
      <c r="A14" s="28" t="s">
        <v>25</v>
      </c>
      <c r="B14" s="29">
        <v>20774.739999999998</v>
      </c>
    </row>
    <row r="15" spans="1:14" x14ac:dyDescent="0.3">
      <c r="A15" s="28" t="s">
        <v>53</v>
      </c>
      <c r="B15" s="29">
        <v>1450.99</v>
      </c>
    </row>
    <row r="16" spans="1:14" x14ac:dyDescent="0.3">
      <c r="A16" s="28" t="s">
        <v>52</v>
      </c>
      <c r="B16" s="29">
        <v>5801.29</v>
      </c>
    </row>
    <row r="17" spans="1:2" x14ac:dyDescent="0.3">
      <c r="A17" s="28" t="s">
        <v>64</v>
      </c>
      <c r="B17" s="29">
        <v>856.7</v>
      </c>
    </row>
    <row r="18" spans="1:2" x14ac:dyDescent="0.3">
      <c r="A18" s="28" t="s">
        <v>35</v>
      </c>
      <c r="B18" s="29">
        <v>3968.59</v>
      </c>
    </row>
    <row r="19" spans="1:2" x14ac:dyDescent="0.3">
      <c r="A19" s="28" t="s">
        <v>71</v>
      </c>
      <c r="B19" s="29">
        <v>2304.9</v>
      </c>
    </row>
    <row r="20" spans="1:2" x14ac:dyDescent="0.3">
      <c r="A20" s="28" t="s">
        <v>55</v>
      </c>
      <c r="B20" s="29">
        <v>7522.77</v>
      </c>
    </row>
    <row r="21" spans="1:2" x14ac:dyDescent="0.3">
      <c r="A21" s="28" t="s">
        <v>31</v>
      </c>
      <c r="B21" s="29">
        <v>9970.1999999999989</v>
      </c>
    </row>
    <row r="22" spans="1:2" x14ac:dyDescent="0.3">
      <c r="A22" s="28" t="s">
        <v>50</v>
      </c>
      <c r="B22" s="29">
        <v>8090.12</v>
      </c>
    </row>
    <row r="23" spans="1:2" x14ac:dyDescent="0.3">
      <c r="A23" s="28" t="s">
        <v>47</v>
      </c>
      <c r="B23" s="29">
        <v>8635.9500000000007</v>
      </c>
    </row>
    <row r="24" spans="1:2" x14ac:dyDescent="0.3">
      <c r="A24" s="28" t="s">
        <v>33</v>
      </c>
      <c r="B24" s="29">
        <v>17143.289999999997</v>
      </c>
    </row>
    <row r="25" spans="1:2" x14ac:dyDescent="0.3">
      <c r="A25" s="28" t="s">
        <v>49</v>
      </c>
      <c r="B25" s="29">
        <v>7251.18</v>
      </c>
    </row>
    <row r="26" spans="1:2" x14ac:dyDescent="0.3">
      <c r="A26" s="28" t="s">
        <v>61</v>
      </c>
      <c r="B26" s="29">
        <v>5443.34</v>
      </c>
    </row>
    <row r="27" spans="1:2" x14ac:dyDescent="0.3">
      <c r="A27" s="28" t="s">
        <v>28</v>
      </c>
      <c r="B27" s="29">
        <v>7881.9</v>
      </c>
    </row>
    <row r="28" spans="1:2" x14ac:dyDescent="0.3">
      <c r="A28" s="28" t="s">
        <v>16</v>
      </c>
      <c r="B28" s="29">
        <v>8331.8499999999985</v>
      </c>
    </row>
    <row r="29" spans="1:2" x14ac:dyDescent="0.3">
      <c r="A29" s="28" t="s">
        <v>45</v>
      </c>
      <c r="B29" s="29">
        <v>7296.1900000000005</v>
      </c>
    </row>
    <row r="30" spans="1:2" x14ac:dyDescent="0.3">
      <c r="A30" s="28" t="s">
        <v>66</v>
      </c>
      <c r="B30" s="29">
        <v>5771.59</v>
      </c>
    </row>
    <row r="31" spans="1:2" x14ac:dyDescent="0.3">
      <c r="A31" s="28" t="s">
        <v>145</v>
      </c>
      <c r="B31" s="29"/>
    </row>
    <row r="32" spans="1:2" x14ac:dyDescent="0.3">
      <c r="A32" s="28" t="s">
        <v>146</v>
      </c>
      <c r="B32" s="29">
        <v>195217.75999999998</v>
      </c>
    </row>
  </sheetData>
  <pageMargins left="0.7" right="0.7" top="0.75" bottom="0.75" header="0.3" footer="0.3"/>
  <pageSetup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AED7F0-1398-47BF-B002-CFBFE00A49FE}">
  <dimension ref="A3:B10"/>
  <sheetViews>
    <sheetView workbookViewId="0"/>
  </sheetViews>
  <sheetFormatPr defaultRowHeight="14.4" x14ac:dyDescent="0.3"/>
  <cols>
    <col min="1" max="1" width="12.5546875" bestFit="1" customWidth="1"/>
    <col min="2" max="2" width="11.6640625" bestFit="1" customWidth="1"/>
  </cols>
  <sheetData>
    <row r="3" spans="1:2" x14ac:dyDescent="0.3">
      <c r="A3" s="27" t="s">
        <v>131</v>
      </c>
      <c r="B3" t="s">
        <v>147</v>
      </c>
    </row>
    <row r="4" spans="1:2" x14ac:dyDescent="0.3">
      <c r="A4" s="28" t="s">
        <v>36</v>
      </c>
      <c r="B4" s="29">
        <v>43468.33</v>
      </c>
    </row>
    <row r="5" spans="1:2" x14ac:dyDescent="0.3">
      <c r="A5" s="28" t="s">
        <v>20</v>
      </c>
      <c r="B5" s="29">
        <v>32441.64</v>
      </c>
    </row>
    <row r="6" spans="1:2" x14ac:dyDescent="0.3">
      <c r="A6" s="28" t="s">
        <v>26</v>
      </c>
      <c r="B6" s="29">
        <v>34975.42</v>
      </c>
    </row>
    <row r="7" spans="1:2" x14ac:dyDescent="0.3">
      <c r="A7" s="28" t="s">
        <v>22</v>
      </c>
      <c r="B7" s="29">
        <v>40248.79</v>
      </c>
    </row>
    <row r="8" spans="1:2" x14ac:dyDescent="0.3">
      <c r="A8" s="28" t="s">
        <v>13</v>
      </c>
      <c r="B8" s="29">
        <v>44083.58</v>
      </c>
    </row>
    <row r="9" spans="1:2" x14ac:dyDescent="0.3">
      <c r="A9" s="28" t="s">
        <v>145</v>
      </c>
      <c r="B9" s="29"/>
    </row>
    <row r="10" spans="1:2" x14ac:dyDescent="0.3">
      <c r="A10" s="28" t="s">
        <v>146</v>
      </c>
      <c r="B10" s="29">
        <v>195217.76</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48EF8-219B-4F83-9EFE-4276E73E5813}">
  <dimension ref="A3:Q34"/>
  <sheetViews>
    <sheetView topLeftCell="H1" workbookViewId="0">
      <selection activeCell="R4" sqref="R4"/>
    </sheetView>
  </sheetViews>
  <sheetFormatPr defaultRowHeight="14.4" x14ac:dyDescent="0.3"/>
  <cols>
    <col min="1" max="1" width="13.109375" bestFit="1" customWidth="1"/>
    <col min="2" max="2" width="11.6640625" bestFit="1" customWidth="1"/>
    <col min="9" max="9" width="12.5546875" bestFit="1" customWidth="1"/>
    <col min="10" max="10" width="11.6640625" bestFit="1" customWidth="1"/>
    <col min="16" max="16" width="12.5546875" bestFit="1" customWidth="1"/>
    <col min="17" max="17" width="11.6640625" bestFit="1" customWidth="1"/>
    <col min="20" max="20" width="12.5546875" bestFit="1" customWidth="1"/>
    <col min="21" max="21" width="11.6640625" bestFit="1" customWidth="1"/>
  </cols>
  <sheetData>
    <row r="3" spans="1:17" x14ac:dyDescent="0.3">
      <c r="A3" s="27" t="s">
        <v>131</v>
      </c>
      <c r="B3" t="s">
        <v>147</v>
      </c>
      <c r="I3" s="27" t="s">
        <v>131</v>
      </c>
      <c r="J3" t="s">
        <v>147</v>
      </c>
      <c r="P3" s="27" t="s">
        <v>131</v>
      </c>
      <c r="Q3" t="s">
        <v>147</v>
      </c>
    </row>
    <row r="4" spans="1:17" x14ac:dyDescent="0.3">
      <c r="A4" s="28" t="s">
        <v>14</v>
      </c>
      <c r="B4" s="29">
        <v>47002.460000000006</v>
      </c>
      <c r="I4" s="28" t="s">
        <v>157</v>
      </c>
      <c r="J4" s="29">
        <v>14914.650000000001</v>
      </c>
      <c r="P4" s="28" t="s">
        <v>36</v>
      </c>
      <c r="Q4" s="29">
        <v>43468.33</v>
      </c>
    </row>
    <row r="5" spans="1:17" x14ac:dyDescent="0.3">
      <c r="A5" s="28" t="s">
        <v>17</v>
      </c>
      <c r="B5" s="29">
        <v>41927.589999999989</v>
      </c>
      <c r="I5" s="28" t="s">
        <v>158</v>
      </c>
      <c r="J5" s="29">
        <v>14006.359999999999</v>
      </c>
      <c r="P5" s="28" t="s">
        <v>20</v>
      </c>
      <c r="Q5" s="29">
        <v>32441.64</v>
      </c>
    </row>
    <row r="6" spans="1:17" x14ac:dyDescent="0.3">
      <c r="A6" s="28" t="s">
        <v>23</v>
      </c>
      <c r="B6" s="29">
        <v>41044.000000000007</v>
      </c>
      <c r="I6" s="28" t="s">
        <v>159</v>
      </c>
      <c r="J6" s="29">
        <v>17655.219999999998</v>
      </c>
      <c r="P6" s="28" t="s">
        <v>26</v>
      </c>
      <c r="Q6" s="29">
        <v>34975.42</v>
      </c>
    </row>
    <row r="7" spans="1:17" x14ac:dyDescent="0.3">
      <c r="A7" s="28" t="s">
        <v>29</v>
      </c>
      <c r="B7" s="29">
        <v>36612.89</v>
      </c>
      <c r="I7" s="28" t="s">
        <v>160</v>
      </c>
      <c r="J7" s="29">
        <v>22242.129999999997</v>
      </c>
      <c r="P7" s="28" t="s">
        <v>22</v>
      </c>
      <c r="Q7" s="29">
        <v>40248.79</v>
      </c>
    </row>
    <row r="8" spans="1:17" x14ac:dyDescent="0.3">
      <c r="A8" s="28" t="s">
        <v>41</v>
      </c>
      <c r="B8" s="29">
        <v>28630.819999999992</v>
      </c>
      <c r="I8" s="28" t="s">
        <v>161</v>
      </c>
      <c r="J8" s="29">
        <v>18507.339999999997</v>
      </c>
      <c r="P8" s="28" t="s">
        <v>13</v>
      </c>
      <c r="Q8" s="29">
        <v>44083.58</v>
      </c>
    </row>
    <row r="9" spans="1:17" x14ac:dyDescent="0.3">
      <c r="A9" s="28" t="s">
        <v>145</v>
      </c>
      <c r="B9" s="29"/>
      <c r="I9" s="28" t="s">
        <v>162</v>
      </c>
      <c r="J9" s="29">
        <v>20187.509999999998</v>
      </c>
      <c r="P9" s="28" t="s">
        <v>145</v>
      </c>
      <c r="Q9" s="29"/>
    </row>
    <row r="10" spans="1:17" x14ac:dyDescent="0.3">
      <c r="A10" s="28" t="s">
        <v>146</v>
      </c>
      <c r="B10" s="29">
        <v>195217.76</v>
      </c>
      <c r="I10" s="28" t="s">
        <v>163</v>
      </c>
      <c r="J10" s="29">
        <v>11609.039999999999</v>
      </c>
      <c r="P10" s="28" t="s">
        <v>146</v>
      </c>
      <c r="Q10" s="29">
        <v>195217.76</v>
      </c>
    </row>
    <row r="11" spans="1:17" x14ac:dyDescent="0.3">
      <c r="I11" s="28" t="s">
        <v>164</v>
      </c>
      <c r="J11" s="29">
        <v>10091.699999999999</v>
      </c>
    </row>
    <row r="12" spans="1:17" x14ac:dyDescent="0.3">
      <c r="I12" s="28" t="s">
        <v>165</v>
      </c>
      <c r="J12" s="29">
        <v>20533.499999999996</v>
      </c>
    </row>
    <row r="13" spans="1:17" x14ac:dyDescent="0.3">
      <c r="I13" s="28" t="s">
        <v>166</v>
      </c>
      <c r="J13" s="29">
        <v>14215.240000000002</v>
      </c>
    </row>
    <row r="14" spans="1:17" x14ac:dyDescent="0.3">
      <c r="I14" s="28" t="s">
        <v>167</v>
      </c>
      <c r="J14" s="29">
        <v>20135.030000000002</v>
      </c>
    </row>
    <row r="15" spans="1:17" x14ac:dyDescent="0.3">
      <c r="I15" s="28" t="s">
        <v>168</v>
      </c>
      <c r="J15" s="29">
        <v>11120.04</v>
      </c>
    </row>
    <row r="16" spans="1:17" x14ac:dyDescent="0.3">
      <c r="I16" s="28" t="s">
        <v>146</v>
      </c>
      <c r="J16" s="29">
        <v>195217.75999999995</v>
      </c>
    </row>
    <row r="27" spans="3:17" x14ac:dyDescent="0.3">
      <c r="Q27" s="8" t="s">
        <v>170</v>
      </c>
    </row>
    <row r="28" spans="3:17" x14ac:dyDescent="0.3">
      <c r="C28" s="15" t="s">
        <v>156</v>
      </c>
      <c r="D28" s="15"/>
    </row>
    <row r="34" spans="10:10" x14ac:dyDescent="0.3">
      <c r="J34" s="11" t="s">
        <v>169</v>
      </c>
    </row>
  </sheetData>
  <mergeCells count="1">
    <mergeCell ref="C28:D28"/>
  </mergeCells>
  <pageMargins left="0.7" right="0.7" top="0.75" bottom="0.75" header="0.3" footer="0.3"/>
  <drawing r:id="rId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B64D01-7A90-48CA-90C7-0F389CE6C9FF}">
  <dimension ref="B2:V43"/>
  <sheetViews>
    <sheetView tabSelected="1" topLeftCell="A5" zoomScale="71" workbookViewId="0">
      <selection activeCell="Q32" sqref="Q32"/>
    </sheetView>
  </sheetViews>
  <sheetFormatPr defaultRowHeight="14.4" x14ac:dyDescent="0.3"/>
  <cols>
    <col min="7" max="7" width="13.77734375" bestFit="1" customWidth="1"/>
    <col min="8" max="9" width="11.6640625" bestFit="1" customWidth="1"/>
    <col min="10" max="10" width="13.77734375" bestFit="1" customWidth="1"/>
    <col min="11" max="12" width="11.6640625" bestFit="1" customWidth="1"/>
  </cols>
  <sheetData>
    <row r="2" spans="2:12" ht="15" thickBot="1" x14ac:dyDescent="0.35"/>
    <row r="3" spans="2:12" x14ac:dyDescent="0.3">
      <c r="B3" s="46" t="s">
        <v>172</v>
      </c>
      <c r="C3" s="47"/>
      <c r="E3" s="40" t="s">
        <v>173</v>
      </c>
      <c r="F3" s="41"/>
      <c r="H3" s="40" t="s">
        <v>174</v>
      </c>
      <c r="I3" s="41"/>
      <c r="K3" s="40" t="s">
        <v>175</v>
      </c>
      <c r="L3" s="41"/>
    </row>
    <row r="4" spans="2:12" x14ac:dyDescent="0.3">
      <c r="B4" s="48"/>
      <c r="C4" s="49"/>
      <c r="E4" s="42"/>
      <c r="F4" s="43"/>
      <c r="H4" s="42"/>
      <c r="I4" s="43"/>
      <c r="K4" s="42"/>
      <c r="L4" s="43"/>
    </row>
    <row r="5" spans="2:12" x14ac:dyDescent="0.3">
      <c r="B5" s="48"/>
      <c r="C5" s="49"/>
      <c r="E5" s="42"/>
      <c r="F5" s="43"/>
      <c r="H5" s="42"/>
      <c r="I5" s="43"/>
      <c r="K5" s="42"/>
      <c r="L5" s="43"/>
    </row>
    <row r="6" spans="2:12" x14ac:dyDescent="0.3">
      <c r="B6" s="48"/>
      <c r="C6" s="49"/>
      <c r="E6" s="42"/>
      <c r="F6" s="43"/>
      <c r="H6" s="42"/>
      <c r="I6" s="43"/>
      <c r="K6" s="42"/>
      <c r="L6" s="43"/>
    </row>
    <row r="7" spans="2:12" x14ac:dyDescent="0.3">
      <c r="B7" s="48"/>
      <c r="C7" s="49"/>
      <c r="E7" s="42"/>
      <c r="F7" s="43"/>
      <c r="H7" s="42"/>
      <c r="I7" s="43"/>
      <c r="K7" s="42"/>
      <c r="L7" s="43"/>
    </row>
    <row r="8" spans="2:12" ht="15" thickBot="1" x14ac:dyDescent="0.35">
      <c r="B8" s="50"/>
      <c r="C8" s="51"/>
      <c r="E8" s="44"/>
      <c r="F8" s="45"/>
      <c r="H8" s="44"/>
      <c r="I8" s="45"/>
      <c r="K8" s="44"/>
      <c r="L8" s="45"/>
    </row>
    <row r="24" spans="2:22" ht="15" thickBot="1" x14ac:dyDescent="0.35"/>
    <row r="25" spans="2:22" ht="15" thickBot="1" x14ac:dyDescent="0.35">
      <c r="D25" s="52" t="s">
        <v>176</v>
      </c>
      <c r="E25" s="53"/>
      <c r="L25" s="52" t="s">
        <v>177</v>
      </c>
      <c r="M25" s="53"/>
      <c r="T25" s="52" t="s">
        <v>178</v>
      </c>
      <c r="U25" s="54"/>
      <c r="V25" s="53"/>
    </row>
    <row r="26" spans="2:22" ht="15" thickBot="1" x14ac:dyDescent="0.35"/>
    <row r="27" spans="2:22" ht="15" thickBot="1" x14ac:dyDescent="0.35">
      <c r="B27" s="39" t="s">
        <v>179</v>
      </c>
      <c r="C27" s="39"/>
      <c r="D27" s="39"/>
      <c r="E27" s="39"/>
      <c r="F27" s="39"/>
      <c r="G27" s="52" t="s">
        <v>180</v>
      </c>
      <c r="H27" s="54"/>
      <c r="I27" s="53"/>
    </row>
    <row r="28" spans="2:22" x14ac:dyDescent="0.3">
      <c r="B28" s="39"/>
      <c r="C28" s="39"/>
      <c r="D28" s="39"/>
      <c r="E28" s="39"/>
      <c r="F28" s="39"/>
      <c r="G28" s="27" t="s">
        <v>131</v>
      </c>
      <c r="H28" t="s">
        <v>147</v>
      </c>
      <c r="I28" s="55" t="s">
        <v>148</v>
      </c>
    </row>
    <row r="29" spans="2:22" x14ac:dyDescent="0.3">
      <c r="B29" s="39"/>
      <c r="C29" s="39"/>
      <c r="D29" s="39"/>
      <c r="E29" s="39"/>
      <c r="F29" s="39"/>
      <c r="G29" s="28" t="s">
        <v>132</v>
      </c>
      <c r="H29" s="29">
        <v>19029.96</v>
      </c>
      <c r="I29" s="32"/>
    </row>
    <row r="30" spans="2:22" x14ac:dyDescent="0.3">
      <c r="B30" s="39"/>
      <c r="C30" s="39"/>
      <c r="D30" s="39"/>
      <c r="E30" s="39"/>
      <c r="F30" s="39"/>
      <c r="G30" s="28" t="s">
        <v>133</v>
      </c>
      <c r="H30" s="29">
        <v>3212.17</v>
      </c>
      <c r="I30" s="33">
        <f>GETPIVOTDATA("Sales",$G$28,"month","Apr-2025")-GETPIVOTDATA("Sales",$G$28,"month","Apr-2024")</f>
        <v>-15817.789999999999</v>
      </c>
    </row>
    <row r="31" spans="2:22" x14ac:dyDescent="0.3">
      <c r="B31" s="39"/>
      <c r="C31" s="39"/>
      <c r="D31" s="39"/>
      <c r="E31" s="39"/>
      <c r="F31" s="39"/>
      <c r="G31" s="28" t="s">
        <v>134</v>
      </c>
      <c r="H31" s="29">
        <v>10091.699999999999</v>
      </c>
      <c r="I31" s="33">
        <f>GETPIVOTDATA("Sales",$G$28,"month","Aug-2024")-GETPIVOTDATA("Sales",$G$28,"month","Apr-2025")</f>
        <v>6879.5299999999988</v>
      </c>
    </row>
    <row r="32" spans="2:22" x14ac:dyDescent="0.3">
      <c r="G32" s="28" t="s">
        <v>135</v>
      </c>
      <c r="H32" s="29">
        <v>11120.04</v>
      </c>
      <c r="I32" s="33">
        <f>GETPIVOTDATA("Sales",$G$28,"month","Dec-2024")-GETPIVOTDATA("Sales",$G$28,"month","Aug-2024")</f>
        <v>1028.340000000002</v>
      </c>
    </row>
    <row r="33" spans="7:9" x14ac:dyDescent="0.3">
      <c r="G33" s="28" t="s">
        <v>136</v>
      </c>
      <c r="H33" s="29">
        <v>14006.359999999999</v>
      </c>
      <c r="I33" s="33">
        <f>GETPIVOTDATA("Sales",$G$28,"month","Feb-2025")-GETPIVOTDATA("Sales",$G$28,"month","Dec-2024")</f>
        <v>2886.3199999999979</v>
      </c>
    </row>
    <row r="34" spans="7:9" x14ac:dyDescent="0.3">
      <c r="G34" s="28" t="s">
        <v>137</v>
      </c>
      <c r="H34" s="29">
        <v>14914.650000000001</v>
      </c>
      <c r="I34" s="33">
        <f>GETPIVOTDATA("Sales",$G$28,"month","Jan-2025")-GETPIVOTDATA("Sales",$G$28,"month","Feb-2025")</f>
        <v>908.29000000000269</v>
      </c>
    </row>
    <row r="35" spans="7:9" x14ac:dyDescent="0.3">
      <c r="G35" s="28" t="s">
        <v>138</v>
      </c>
      <c r="H35" s="29">
        <v>11609.039999999999</v>
      </c>
      <c r="I35" s="33">
        <f>GETPIVOTDATA("Sales",$G$28,"month","Jul-2024")-GETPIVOTDATA("Sales",$G$28,"month","Jan-2025")</f>
        <v>-3305.6100000000024</v>
      </c>
    </row>
    <row r="36" spans="7:9" x14ac:dyDescent="0.3">
      <c r="G36" s="28" t="s">
        <v>139</v>
      </c>
      <c r="H36" s="29">
        <v>20187.509999999998</v>
      </c>
      <c r="I36" s="33">
        <f>GETPIVOTDATA("Sales",$G$28,"month","Jun-2024")-GETPIVOTDATA("Sales",$G$28,"month","Jul-2024")</f>
        <v>8578.4699999999993</v>
      </c>
    </row>
    <row r="37" spans="7:9" x14ac:dyDescent="0.3">
      <c r="G37" s="28" t="s">
        <v>140</v>
      </c>
      <c r="H37" s="29">
        <v>17655.219999999998</v>
      </c>
      <c r="I37" s="33">
        <f>GETPIVOTDATA("Sales",$G$28,"month","Mar-2025")-GETPIVOTDATA("Sales",$G$28,"month","Jun-2024")</f>
        <v>-2532.2900000000009</v>
      </c>
    </row>
    <row r="38" spans="7:9" x14ac:dyDescent="0.3">
      <c r="G38" s="28" t="s">
        <v>141</v>
      </c>
      <c r="H38" s="29">
        <v>18507.339999999997</v>
      </c>
      <c r="I38" s="33">
        <f>GETPIVOTDATA("Sales",$G$28,"month","May-2024")-GETPIVOTDATA("Sales",$G$28,"month","Mar-2025")</f>
        <v>852.11999999999898</v>
      </c>
    </row>
    <row r="39" spans="7:9" x14ac:dyDescent="0.3">
      <c r="G39" s="28" t="s">
        <v>142</v>
      </c>
      <c r="H39" s="29">
        <v>20135.030000000002</v>
      </c>
      <c r="I39" s="33">
        <f>GETPIVOTDATA("Sales",$G$28,"month","Nov-2024")-GETPIVOTDATA("Sales",$G$28,"month","May-2024")</f>
        <v>1627.690000000006</v>
      </c>
    </row>
    <row r="40" spans="7:9" x14ac:dyDescent="0.3">
      <c r="G40" s="28" t="s">
        <v>143</v>
      </c>
      <c r="H40" s="29">
        <v>14215.240000000002</v>
      </c>
      <c r="I40" s="33">
        <f>GETPIVOTDATA("Sales",$G$28,"month","Oct-2024")-GETPIVOTDATA("Sales",$G$28,"month","Nov-2024")</f>
        <v>-5919.7900000000009</v>
      </c>
    </row>
    <row r="41" spans="7:9" x14ac:dyDescent="0.3">
      <c r="G41" s="28" t="s">
        <v>144</v>
      </c>
      <c r="H41" s="29">
        <v>20533.499999999996</v>
      </c>
      <c r="I41" s="33">
        <f>GETPIVOTDATA("Sales",$G$28,"month","Sep-2024")-GETPIVOTDATA("Sales",$G$28,"month","Oct-2024")</f>
        <v>6318.2599999999948</v>
      </c>
    </row>
    <row r="42" spans="7:9" x14ac:dyDescent="0.3">
      <c r="G42" s="28" t="s">
        <v>145</v>
      </c>
      <c r="H42" s="29"/>
    </row>
    <row r="43" spans="7:9" x14ac:dyDescent="0.3">
      <c r="G43" s="28" t="s">
        <v>146</v>
      </c>
      <c r="H43" s="29">
        <v>195217.75999999998</v>
      </c>
    </row>
  </sheetData>
  <mergeCells count="9">
    <mergeCell ref="B27:F31"/>
    <mergeCell ref="G27:I27"/>
    <mergeCell ref="E3:F8"/>
    <mergeCell ref="H3:I8"/>
    <mergeCell ref="K3:L8"/>
    <mergeCell ref="D25:E25"/>
    <mergeCell ref="L25:M25"/>
    <mergeCell ref="T25:V25"/>
    <mergeCell ref="B3:C8"/>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C1000"/>
  <sheetViews>
    <sheetView workbookViewId="0">
      <selection sqref="A1:XFD1048576"/>
    </sheetView>
  </sheetViews>
  <sheetFormatPr defaultColWidth="14.44140625" defaultRowHeight="15" customHeight="1" x14ac:dyDescent="0.3"/>
  <cols>
    <col min="1" max="1" width="12.44140625" customWidth="1"/>
    <col min="2" max="2" width="16.5546875" customWidth="1"/>
    <col min="3" max="3" width="7.33203125" customWidth="1"/>
    <col min="4" max="4" width="16.6640625" customWidth="1"/>
    <col min="5" max="5" width="8" customWidth="1"/>
    <col min="6" max="6" width="8.88671875" customWidth="1"/>
    <col min="7" max="7" width="8.6640625" customWidth="1"/>
    <col min="8" max="8" width="11.33203125" customWidth="1"/>
    <col min="9" max="9" width="18.44140625" bestFit="1" customWidth="1"/>
    <col min="10" max="10" width="7" customWidth="1"/>
    <col min="11" max="12" width="8.6640625" customWidth="1"/>
    <col min="13" max="13" width="15.44140625" bestFit="1" customWidth="1"/>
    <col min="14" max="26" width="8.6640625" customWidth="1"/>
  </cols>
  <sheetData>
    <row r="1" spans="1:26" ht="14.4" x14ac:dyDescent="0.3">
      <c r="A1" s="3" t="s">
        <v>2</v>
      </c>
      <c r="B1" s="3" t="s">
        <v>3</v>
      </c>
      <c r="C1" s="3" t="s">
        <v>4</v>
      </c>
      <c r="D1" s="3" t="s">
        <v>5</v>
      </c>
      <c r="E1" s="3" t="s">
        <v>6</v>
      </c>
      <c r="F1" s="3" t="s">
        <v>7</v>
      </c>
      <c r="G1" s="3" t="s">
        <v>8</v>
      </c>
      <c r="H1" s="3" t="s">
        <v>9</v>
      </c>
      <c r="I1" s="8" t="s">
        <v>80</v>
      </c>
      <c r="J1" s="8" t="s">
        <v>81</v>
      </c>
      <c r="K1" s="3" t="s">
        <v>10</v>
      </c>
      <c r="L1" s="8" t="s">
        <v>130</v>
      </c>
      <c r="M1" s="8" t="s">
        <v>150</v>
      </c>
      <c r="N1" s="3"/>
      <c r="O1" s="3"/>
      <c r="P1" s="3"/>
      <c r="Q1" s="3"/>
      <c r="R1" s="3"/>
      <c r="S1" s="3"/>
      <c r="T1" s="3"/>
      <c r="U1" s="3"/>
      <c r="V1" s="3"/>
      <c r="W1" s="3"/>
      <c r="X1" s="3"/>
      <c r="Y1" s="3"/>
      <c r="Z1" s="3"/>
    </row>
    <row r="2" spans="1:26" ht="14.4" x14ac:dyDescent="0.3">
      <c r="A2" s="4" t="s">
        <v>11</v>
      </c>
      <c r="B2" s="4" t="s">
        <v>12</v>
      </c>
      <c r="C2" s="4" t="s">
        <v>13</v>
      </c>
      <c r="D2" s="4" t="s">
        <v>14</v>
      </c>
      <c r="E2" s="4">
        <v>1036.0899999999999</v>
      </c>
      <c r="F2" s="4">
        <v>4</v>
      </c>
      <c r="G2" s="7">
        <v>0.2</v>
      </c>
      <c r="H2" s="5">
        <v>45392</v>
      </c>
      <c r="I2">
        <f>E2*F2-(E2*F2*G2%)</f>
        <v>4136.0712800000001</v>
      </c>
      <c r="J2">
        <f>I2-K2</f>
        <v>3804.5212799999999</v>
      </c>
      <c r="K2" s="4">
        <v>331.55</v>
      </c>
      <c r="L2" t="str">
        <f>TEXT(H2,"mmm-yyyy")</f>
        <v>Apr-2024</v>
      </c>
      <c r="M2" s="35">
        <f ca="1">NOW()</f>
        <v>46134.720372222226</v>
      </c>
      <c r="N2">
        <f>SUM(E2:E201)</f>
        <v>195217.75999999992</v>
      </c>
    </row>
    <row r="3" spans="1:26" ht="14.4" x14ac:dyDescent="0.3">
      <c r="A3" s="4" t="s">
        <v>15</v>
      </c>
      <c r="B3" s="4" t="s">
        <v>16</v>
      </c>
      <c r="C3" s="4" t="s">
        <v>13</v>
      </c>
      <c r="D3" s="4" t="s">
        <v>17</v>
      </c>
      <c r="E3" s="4">
        <v>1101.28</v>
      </c>
      <c r="F3" s="4">
        <v>3</v>
      </c>
      <c r="G3" s="4">
        <v>0.2</v>
      </c>
      <c r="H3" s="5">
        <v>45393</v>
      </c>
      <c r="I3">
        <f t="shared" ref="I3:I66" si="0">E3*F3-(E3*F3*G3%)</f>
        <v>3297.2323200000001</v>
      </c>
      <c r="J3">
        <f t="shared" ref="J3:J66" si="1">I3-K3</f>
        <v>2856.7223199999999</v>
      </c>
      <c r="K3" s="4">
        <v>440.51</v>
      </c>
      <c r="L3" t="str">
        <f t="shared" ref="L3:L66" si="2">TEXT(H3,"mmm-yyyy")</f>
        <v>Apr-2024</v>
      </c>
      <c r="M3" s="35">
        <f t="shared" ref="M3:M66" ca="1" si="3">NOW()</f>
        <v>46134.720372222226</v>
      </c>
      <c r="N3">
        <f>SUM(K2:K201)</f>
        <v>68287.010000000009</v>
      </c>
    </row>
    <row r="4" spans="1:26" ht="14.4" x14ac:dyDescent="0.3">
      <c r="A4" s="4" t="s">
        <v>18</v>
      </c>
      <c r="B4" s="4" t="s">
        <v>19</v>
      </c>
      <c r="C4" s="4" t="s">
        <v>20</v>
      </c>
      <c r="D4" s="4" t="s">
        <v>14</v>
      </c>
      <c r="E4" s="4">
        <v>713.34</v>
      </c>
      <c r="F4" s="4">
        <v>17</v>
      </c>
      <c r="G4" s="4">
        <v>0</v>
      </c>
      <c r="H4" s="5">
        <v>45396</v>
      </c>
      <c r="I4">
        <f t="shared" si="0"/>
        <v>12126.78</v>
      </c>
      <c r="J4">
        <f t="shared" si="1"/>
        <v>11841.44</v>
      </c>
      <c r="K4" s="4">
        <v>285.33999999999997</v>
      </c>
      <c r="L4" t="str">
        <f t="shared" si="2"/>
        <v>Apr-2024</v>
      </c>
      <c r="M4" s="35">
        <f t="shared" ca="1" si="3"/>
        <v>46134.720372222226</v>
      </c>
      <c r="N4">
        <f>COUNTA(F2:F201)</f>
        <v>200</v>
      </c>
    </row>
    <row r="5" spans="1:26" ht="14.4" x14ac:dyDescent="0.3">
      <c r="A5" s="4" t="s">
        <v>21</v>
      </c>
      <c r="B5" s="4" t="s">
        <v>16</v>
      </c>
      <c r="C5" s="4" t="s">
        <v>22</v>
      </c>
      <c r="D5" s="4" t="s">
        <v>23</v>
      </c>
      <c r="E5" s="4">
        <v>760.93</v>
      </c>
      <c r="F5" s="4">
        <v>4</v>
      </c>
      <c r="G5" s="4">
        <v>0.15</v>
      </c>
      <c r="H5" s="5">
        <v>45396</v>
      </c>
      <c r="I5">
        <f t="shared" si="0"/>
        <v>3039.1544199999998</v>
      </c>
      <c r="J5">
        <f t="shared" si="1"/>
        <v>2877.45442</v>
      </c>
      <c r="K5" s="4">
        <v>161.69999999999999</v>
      </c>
      <c r="L5" t="str">
        <f t="shared" si="2"/>
        <v>Apr-2024</v>
      </c>
      <c r="M5" s="35">
        <f t="shared" ca="1" si="3"/>
        <v>46134.720372222226</v>
      </c>
      <c r="N5">
        <f>AVERAGE(G2:G201)</f>
        <v>9.7250000000000003E-2</v>
      </c>
    </row>
    <row r="6" spans="1:26" ht="14.4" x14ac:dyDescent="0.3">
      <c r="A6" s="4" t="s">
        <v>24</v>
      </c>
      <c r="B6" s="4" t="s">
        <v>25</v>
      </c>
      <c r="C6" s="4" t="s">
        <v>26</v>
      </c>
      <c r="D6" s="4" t="s">
        <v>14</v>
      </c>
      <c r="E6" s="4">
        <v>847</v>
      </c>
      <c r="F6" s="4">
        <v>12</v>
      </c>
      <c r="G6" s="4">
        <v>0.2</v>
      </c>
      <c r="H6" s="5">
        <v>45397</v>
      </c>
      <c r="I6">
        <f t="shared" si="0"/>
        <v>10143.672</v>
      </c>
      <c r="J6">
        <f t="shared" si="1"/>
        <v>9872.6319999999996</v>
      </c>
      <c r="K6" s="4">
        <v>271.04000000000002</v>
      </c>
      <c r="L6" t="str">
        <f t="shared" si="2"/>
        <v>Apr-2024</v>
      </c>
      <c r="M6" s="35">
        <f t="shared" ca="1" si="3"/>
        <v>46134.720372222226</v>
      </c>
    </row>
    <row r="7" spans="1:26" ht="14.4" x14ac:dyDescent="0.3">
      <c r="A7" s="4" t="s">
        <v>27</v>
      </c>
      <c r="B7" s="4" t="s">
        <v>28</v>
      </c>
      <c r="C7" s="4" t="s">
        <v>26</v>
      </c>
      <c r="D7" s="4" t="s">
        <v>29</v>
      </c>
      <c r="E7" s="4">
        <v>965.64</v>
      </c>
      <c r="F7" s="4">
        <v>8</v>
      </c>
      <c r="G7" s="4">
        <v>0.1</v>
      </c>
      <c r="H7" s="5">
        <v>45398</v>
      </c>
      <c r="I7">
        <f t="shared" si="0"/>
        <v>7717.3948799999998</v>
      </c>
      <c r="J7">
        <f t="shared" si="1"/>
        <v>7413.2148799999995</v>
      </c>
      <c r="K7" s="4">
        <v>304.18</v>
      </c>
      <c r="L7" t="str">
        <f t="shared" si="2"/>
        <v>Apr-2024</v>
      </c>
      <c r="M7" s="35">
        <f t="shared" ca="1" si="3"/>
        <v>46134.720372222226</v>
      </c>
    </row>
    <row r="8" spans="1:26" ht="14.4" x14ac:dyDescent="0.3">
      <c r="A8" s="4" t="s">
        <v>30</v>
      </c>
      <c r="B8" s="4" t="s">
        <v>31</v>
      </c>
      <c r="C8" s="4" t="s">
        <v>13</v>
      </c>
      <c r="D8" s="4" t="s">
        <v>23</v>
      </c>
      <c r="E8" s="4">
        <v>1317.53</v>
      </c>
      <c r="F8" s="4">
        <v>12</v>
      </c>
      <c r="G8" s="4">
        <v>0.05</v>
      </c>
      <c r="H8" s="5">
        <v>45398</v>
      </c>
      <c r="I8">
        <f t="shared" si="0"/>
        <v>15802.454820000001</v>
      </c>
      <c r="J8">
        <f t="shared" si="1"/>
        <v>15489.544820000001</v>
      </c>
      <c r="K8" s="4">
        <v>312.91000000000003</v>
      </c>
      <c r="L8" t="str">
        <f t="shared" si="2"/>
        <v>Apr-2024</v>
      </c>
      <c r="M8" s="35">
        <f t="shared" ca="1" si="3"/>
        <v>46134.720372222226</v>
      </c>
    </row>
    <row r="9" spans="1:26" ht="14.4" x14ac:dyDescent="0.3">
      <c r="A9" s="4" t="s">
        <v>32</v>
      </c>
      <c r="B9" s="4" t="s">
        <v>33</v>
      </c>
      <c r="C9" s="4" t="s">
        <v>20</v>
      </c>
      <c r="D9" s="4" t="s">
        <v>29</v>
      </c>
      <c r="E9" s="4">
        <v>1074.47</v>
      </c>
      <c r="F9" s="4">
        <v>6</v>
      </c>
      <c r="G9" s="4">
        <v>0.2</v>
      </c>
      <c r="H9" s="5">
        <v>45401</v>
      </c>
      <c r="I9">
        <f t="shared" si="0"/>
        <v>6433.9263599999995</v>
      </c>
      <c r="J9">
        <f t="shared" si="1"/>
        <v>6133.0763599999991</v>
      </c>
      <c r="K9" s="4">
        <v>300.85000000000002</v>
      </c>
      <c r="L9" t="str">
        <f t="shared" si="2"/>
        <v>Apr-2024</v>
      </c>
      <c r="M9" s="35">
        <f t="shared" ca="1" si="3"/>
        <v>46134.720372222226</v>
      </c>
    </row>
    <row r="10" spans="1:26" ht="14.4" x14ac:dyDescent="0.3">
      <c r="A10" s="4" t="s">
        <v>34</v>
      </c>
      <c r="B10" s="4" t="s">
        <v>35</v>
      </c>
      <c r="C10" s="4" t="s">
        <v>36</v>
      </c>
      <c r="D10" s="4" t="s">
        <v>14</v>
      </c>
      <c r="E10" s="4">
        <v>501.54</v>
      </c>
      <c r="F10" s="4">
        <v>11</v>
      </c>
      <c r="G10" s="4">
        <v>0.05</v>
      </c>
      <c r="H10" s="5">
        <v>45401</v>
      </c>
      <c r="I10">
        <f t="shared" si="0"/>
        <v>5514.1815300000007</v>
      </c>
      <c r="J10">
        <f t="shared" si="1"/>
        <v>5323.5915300000006</v>
      </c>
      <c r="K10" s="4">
        <v>190.59</v>
      </c>
      <c r="L10" t="str">
        <f t="shared" si="2"/>
        <v>Apr-2024</v>
      </c>
      <c r="M10" s="35">
        <f t="shared" ca="1" si="3"/>
        <v>46134.720372222226</v>
      </c>
    </row>
    <row r="11" spans="1:26" ht="14.4" x14ac:dyDescent="0.3">
      <c r="A11" s="4" t="s">
        <v>37</v>
      </c>
      <c r="B11" s="4" t="s">
        <v>38</v>
      </c>
      <c r="C11" s="4" t="s">
        <v>36</v>
      </c>
      <c r="D11" s="4" t="s">
        <v>17</v>
      </c>
      <c r="E11" s="4">
        <v>737.31</v>
      </c>
      <c r="F11" s="4">
        <v>2</v>
      </c>
      <c r="G11" s="4">
        <v>0.05</v>
      </c>
      <c r="H11" s="5">
        <v>45401</v>
      </c>
      <c r="I11">
        <f t="shared" si="0"/>
        <v>1473.8826899999999</v>
      </c>
      <c r="J11">
        <f t="shared" si="1"/>
        <v>1123.6626899999999</v>
      </c>
      <c r="K11" s="4">
        <v>350.22</v>
      </c>
      <c r="L11" t="str">
        <f t="shared" si="2"/>
        <v>Apr-2024</v>
      </c>
      <c r="M11" s="35">
        <f t="shared" ca="1" si="3"/>
        <v>46134.720372222226</v>
      </c>
    </row>
    <row r="12" spans="1:26" ht="14.4" x14ac:dyDescent="0.3">
      <c r="A12" s="4" t="s">
        <v>39</v>
      </c>
      <c r="B12" s="4" t="s">
        <v>40</v>
      </c>
      <c r="C12" s="4" t="s">
        <v>13</v>
      </c>
      <c r="D12" s="4" t="s">
        <v>41</v>
      </c>
      <c r="E12" s="4">
        <v>1572.82</v>
      </c>
      <c r="F12" s="4">
        <v>6</v>
      </c>
      <c r="G12" s="4">
        <v>0.05</v>
      </c>
      <c r="H12" s="5">
        <v>45402</v>
      </c>
      <c r="I12">
        <f t="shared" si="0"/>
        <v>9432.20154</v>
      </c>
      <c r="J12">
        <f t="shared" si="1"/>
        <v>8759.8215400000008</v>
      </c>
      <c r="K12" s="4">
        <v>672.38</v>
      </c>
      <c r="L12" t="str">
        <f t="shared" si="2"/>
        <v>Apr-2024</v>
      </c>
      <c r="M12" s="35">
        <f t="shared" ca="1" si="3"/>
        <v>46134.720372222226</v>
      </c>
    </row>
    <row r="13" spans="1:26" ht="14.4" x14ac:dyDescent="0.3">
      <c r="A13" s="4" t="s">
        <v>39</v>
      </c>
      <c r="B13" s="4" t="s">
        <v>38</v>
      </c>
      <c r="C13" s="4" t="s">
        <v>36</v>
      </c>
      <c r="D13" s="4" t="s">
        <v>14</v>
      </c>
      <c r="E13" s="4">
        <v>1343.13</v>
      </c>
      <c r="F13" s="4">
        <v>14</v>
      </c>
      <c r="G13" s="4">
        <v>0.15</v>
      </c>
      <c r="H13" s="5">
        <v>45404</v>
      </c>
      <c r="I13">
        <f t="shared" si="0"/>
        <v>18775.614269999998</v>
      </c>
      <c r="J13">
        <f t="shared" si="1"/>
        <v>18318.954269999998</v>
      </c>
      <c r="K13" s="4">
        <v>456.66</v>
      </c>
      <c r="L13" t="str">
        <f t="shared" si="2"/>
        <v>Apr-2024</v>
      </c>
      <c r="M13" s="35">
        <f t="shared" ca="1" si="3"/>
        <v>46134.720372222226</v>
      </c>
    </row>
    <row r="14" spans="1:26" ht="14.4" x14ac:dyDescent="0.3">
      <c r="A14" s="4" t="s">
        <v>27</v>
      </c>
      <c r="B14" s="4" t="s">
        <v>28</v>
      </c>
      <c r="C14" s="4" t="s">
        <v>36</v>
      </c>
      <c r="D14" s="4" t="s">
        <v>14</v>
      </c>
      <c r="E14" s="4">
        <v>1191.58</v>
      </c>
      <c r="F14" s="4">
        <v>14</v>
      </c>
      <c r="G14" s="4">
        <v>0.05</v>
      </c>
      <c r="H14" s="5">
        <v>45406</v>
      </c>
      <c r="I14">
        <f t="shared" si="0"/>
        <v>16673.77894</v>
      </c>
      <c r="J14">
        <f t="shared" si="1"/>
        <v>16220.978940000001</v>
      </c>
      <c r="K14" s="4">
        <v>452.8</v>
      </c>
      <c r="L14" t="str">
        <f t="shared" si="2"/>
        <v>Apr-2024</v>
      </c>
      <c r="M14" s="35">
        <f t="shared" ca="1" si="3"/>
        <v>46134.720372222226</v>
      </c>
    </row>
    <row r="15" spans="1:26" ht="14.4" x14ac:dyDescent="0.3">
      <c r="A15" s="4" t="s">
        <v>42</v>
      </c>
      <c r="B15" s="4" t="s">
        <v>16</v>
      </c>
      <c r="C15" s="4" t="s">
        <v>13</v>
      </c>
      <c r="D15" s="4" t="s">
        <v>29</v>
      </c>
      <c r="E15" s="4">
        <v>822.28</v>
      </c>
      <c r="F15" s="4">
        <v>7</v>
      </c>
      <c r="G15" s="4">
        <v>0.05</v>
      </c>
      <c r="H15" s="5">
        <v>45406</v>
      </c>
      <c r="I15">
        <f t="shared" si="0"/>
        <v>5753.0820199999998</v>
      </c>
      <c r="J15">
        <f t="shared" si="1"/>
        <v>5479.67202</v>
      </c>
      <c r="K15" s="4">
        <v>273.41000000000003</v>
      </c>
      <c r="L15" t="str">
        <f t="shared" si="2"/>
        <v>Apr-2024</v>
      </c>
      <c r="M15" s="35">
        <f t="shared" ca="1" si="3"/>
        <v>46134.720372222226</v>
      </c>
    </row>
    <row r="16" spans="1:26" ht="14.4" x14ac:dyDescent="0.3">
      <c r="A16" s="4" t="s">
        <v>43</v>
      </c>
      <c r="B16" s="4" t="s">
        <v>44</v>
      </c>
      <c r="C16" s="4" t="s">
        <v>26</v>
      </c>
      <c r="D16" s="4" t="s">
        <v>29</v>
      </c>
      <c r="E16" s="4">
        <v>521.66999999999996</v>
      </c>
      <c r="F16" s="4">
        <v>15</v>
      </c>
      <c r="G16" s="4">
        <v>0.15</v>
      </c>
      <c r="H16" s="5">
        <v>45409</v>
      </c>
      <c r="I16">
        <f t="shared" si="0"/>
        <v>7813.3124249999992</v>
      </c>
      <c r="J16">
        <f t="shared" si="1"/>
        <v>7658.1124249999993</v>
      </c>
      <c r="K16" s="4">
        <v>155.19999999999999</v>
      </c>
      <c r="L16" t="str">
        <f t="shared" si="2"/>
        <v>Apr-2024</v>
      </c>
      <c r="M16" s="35">
        <f t="shared" ca="1" si="3"/>
        <v>46134.720372222226</v>
      </c>
    </row>
    <row r="17" spans="1:20" ht="14.4" x14ac:dyDescent="0.3">
      <c r="A17" s="4" t="s">
        <v>21</v>
      </c>
      <c r="B17" s="4" t="s">
        <v>45</v>
      </c>
      <c r="C17" s="4" t="s">
        <v>22</v>
      </c>
      <c r="D17" s="4" t="s">
        <v>23</v>
      </c>
      <c r="E17" s="4">
        <v>1502.93</v>
      </c>
      <c r="F17" s="4">
        <v>14</v>
      </c>
      <c r="G17" s="4">
        <v>0.2</v>
      </c>
      <c r="H17" s="5">
        <v>45410</v>
      </c>
      <c r="I17">
        <f t="shared" si="0"/>
        <v>20998.937959999999</v>
      </c>
      <c r="J17">
        <f t="shared" si="1"/>
        <v>20698.347959999999</v>
      </c>
      <c r="K17" s="4">
        <v>300.58999999999997</v>
      </c>
      <c r="L17" t="str">
        <f t="shared" si="2"/>
        <v>Apr-2024</v>
      </c>
      <c r="M17" s="35">
        <f t="shared" ca="1" si="3"/>
        <v>46134.720372222226</v>
      </c>
    </row>
    <row r="18" spans="1:20" ht="14.4" x14ac:dyDescent="0.3">
      <c r="A18" s="4" t="s">
        <v>46</v>
      </c>
      <c r="B18" s="4" t="s">
        <v>16</v>
      </c>
      <c r="C18" s="4" t="s">
        <v>22</v>
      </c>
      <c r="D18" s="4" t="s">
        <v>14</v>
      </c>
      <c r="E18" s="4">
        <v>877.58</v>
      </c>
      <c r="F18" s="4">
        <v>10</v>
      </c>
      <c r="G18" s="4">
        <v>0.15</v>
      </c>
      <c r="H18" s="5">
        <v>45411</v>
      </c>
      <c r="I18">
        <f t="shared" si="0"/>
        <v>8762.6363000000019</v>
      </c>
      <c r="J18">
        <f t="shared" si="1"/>
        <v>8464.2563000000027</v>
      </c>
      <c r="K18" s="4">
        <v>298.38</v>
      </c>
      <c r="L18" t="str">
        <f t="shared" si="2"/>
        <v>Apr-2024</v>
      </c>
      <c r="M18" s="35">
        <f t="shared" ca="1" si="3"/>
        <v>46134.720372222226</v>
      </c>
    </row>
    <row r="19" spans="1:20" ht="14.4" x14ac:dyDescent="0.3">
      <c r="A19" s="4" t="s">
        <v>30</v>
      </c>
      <c r="B19" s="4" t="s">
        <v>47</v>
      </c>
      <c r="C19" s="4" t="s">
        <v>13</v>
      </c>
      <c r="D19" s="4" t="s">
        <v>14</v>
      </c>
      <c r="E19" s="4">
        <v>636.70000000000005</v>
      </c>
      <c r="F19" s="4">
        <v>4</v>
      </c>
      <c r="G19" s="4">
        <v>0.2</v>
      </c>
      <c r="H19" s="5">
        <v>45411</v>
      </c>
      <c r="I19">
        <f t="shared" si="0"/>
        <v>2541.7064</v>
      </c>
      <c r="J19">
        <f t="shared" si="1"/>
        <v>2337.9664000000002</v>
      </c>
      <c r="K19" s="4">
        <v>203.74</v>
      </c>
      <c r="L19" t="str">
        <f t="shared" si="2"/>
        <v>Apr-2024</v>
      </c>
      <c r="M19" s="35">
        <f t="shared" ca="1" si="3"/>
        <v>46134.720372222226</v>
      </c>
    </row>
    <row r="20" spans="1:20" ht="14.4" x14ac:dyDescent="0.3">
      <c r="A20" s="4" t="s">
        <v>48</v>
      </c>
      <c r="B20" s="4" t="s">
        <v>49</v>
      </c>
      <c r="C20" s="4" t="s">
        <v>13</v>
      </c>
      <c r="D20" s="4" t="s">
        <v>14</v>
      </c>
      <c r="E20" s="4">
        <v>1506.14</v>
      </c>
      <c r="F20" s="4">
        <v>13</v>
      </c>
      <c r="G20" s="4">
        <v>0.2</v>
      </c>
      <c r="H20" s="5">
        <v>45412</v>
      </c>
      <c r="I20">
        <f t="shared" si="0"/>
        <v>19540.660359999998</v>
      </c>
      <c r="J20">
        <f t="shared" si="1"/>
        <v>19058.700359999999</v>
      </c>
      <c r="K20" s="4">
        <v>481.96</v>
      </c>
      <c r="L20" t="str">
        <f t="shared" si="2"/>
        <v>Apr-2024</v>
      </c>
      <c r="M20" s="35">
        <f t="shared" ca="1" si="3"/>
        <v>46134.720372222226</v>
      </c>
    </row>
    <row r="21" spans="1:20" ht="15.75" customHeight="1" x14ac:dyDescent="0.3">
      <c r="A21" s="4" t="s">
        <v>32</v>
      </c>
      <c r="B21" s="4" t="s">
        <v>33</v>
      </c>
      <c r="C21" s="4" t="s">
        <v>36</v>
      </c>
      <c r="D21" s="4" t="s">
        <v>23</v>
      </c>
      <c r="E21" s="4">
        <v>645.02</v>
      </c>
      <c r="F21" s="4">
        <v>4</v>
      </c>
      <c r="G21" s="4">
        <v>0</v>
      </c>
      <c r="H21" s="5">
        <v>45414</v>
      </c>
      <c r="I21">
        <f t="shared" si="0"/>
        <v>2580.08</v>
      </c>
      <c r="J21">
        <f t="shared" si="1"/>
        <v>2418.8199999999997</v>
      </c>
      <c r="K21" s="4">
        <v>161.26</v>
      </c>
      <c r="L21" t="str">
        <f t="shared" si="2"/>
        <v>May-2024</v>
      </c>
      <c r="M21" s="35">
        <f t="shared" ca="1" si="3"/>
        <v>46134.720372222226</v>
      </c>
    </row>
    <row r="22" spans="1:20" ht="15.75" customHeight="1" x14ac:dyDescent="0.3">
      <c r="A22" s="4" t="s">
        <v>27</v>
      </c>
      <c r="B22" s="4" t="s">
        <v>50</v>
      </c>
      <c r="C22" s="4" t="s">
        <v>22</v>
      </c>
      <c r="D22" s="4" t="s">
        <v>17</v>
      </c>
      <c r="E22" s="4">
        <v>953.3</v>
      </c>
      <c r="F22" s="4">
        <v>11</v>
      </c>
      <c r="G22" s="4">
        <v>0</v>
      </c>
      <c r="H22" s="5">
        <v>45415</v>
      </c>
      <c r="I22">
        <f t="shared" si="0"/>
        <v>10486.3</v>
      </c>
      <c r="J22">
        <f t="shared" si="1"/>
        <v>10009.65</v>
      </c>
      <c r="K22" s="4">
        <v>476.65</v>
      </c>
      <c r="L22" t="str">
        <f t="shared" si="2"/>
        <v>May-2024</v>
      </c>
      <c r="M22" s="35">
        <f t="shared" ca="1" si="3"/>
        <v>46134.720372222226</v>
      </c>
    </row>
    <row r="23" spans="1:20" ht="15.75" customHeight="1" x14ac:dyDescent="0.3">
      <c r="A23" s="4" t="s">
        <v>51</v>
      </c>
      <c r="B23" s="4" t="s">
        <v>16</v>
      </c>
      <c r="C23" s="4" t="s">
        <v>26</v>
      </c>
      <c r="D23" s="4" t="s">
        <v>23</v>
      </c>
      <c r="E23" s="4">
        <v>388.56</v>
      </c>
      <c r="F23" s="4">
        <v>14</v>
      </c>
      <c r="G23" s="4">
        <v>0.15</v>
      </c>
      <c r="H23" s="5">
        <v>45416</v>
      </c>
      <c r="I23">
        <f t="shared" si="0"/>
        <v>5431.6802400000006</v>
      </c>
      <c r="J23">
        <f t="shared" si="1"/>
        <v>5349.1102400000009</v>
      </c>
      <c r="K23" s="4">
        <v>82.57</v>
      </c>
      <c r="L23" t="str">
        <f t="shared" si="2"/>
        <v>May-2024</v>
      </c>
      <c r="M23" s="35">
        <f t="shared" ca="1" si="3"/>
        <v>46134.720372222226</v>
      </c>
    </row>
    <row r="24" spans="1:20" ht="15.75" customHeight="1" x14ac:dyDescent="0.3">
      <c r="A24" s="4" t="s">
        <v>11</v>
      </c>
      <c r="B24" s="4" t="s">
        <v>33</v>
      </c>
      <c r="C24" s="4" t="s">
        <v>13</v>
      </c>
      <c r="D24" s="4" t="s">
        <v>14</v>
      </c>
      <c r="E24" s="4">
        <v>743.17</v>
      </c>
      <c r="F24" s="4">
        <v>9</v>
      </c>
      <c r="G24" s="4">
        <v>0</v>
      </c>
      <c r="H24" s="5">
        <v>45416</v>
      </c>
      <c r="I24">
        <f t="shared" si="0"/>
        <v>6688.53</v>
      </c>
      <c r="J24">
        <f t="shared" si="1"/>
        <v>6391.26</v>
      </c>
      <c r="K24" s="4">
        <v>297.27</v>
      </c>
      <c r="L24" t="str">
        <f t="shared" si="2"/>
        <v>May-2024</v>
      </c>
      <c r="M24" s="35">
        <f t="shared" ca="1" si="3"/>
        <v>46134.720372222226</v>
      </c>
    </row>
    <row r="25" spans="1:20" ht="15.75" customHeight="1" x14ac:dyDescent="0.3">
      <c r="A25" s="4" t="s">
        <v>42</v>
      </c>
      <c r="B25" s="4" t="s">
        <v>33</v>
      </c>
      <c r="C25" s="4" t="s">
        <v>36</v>
      </c>
      <c r="D25" s="4" t="s">
        <v>23</v>
      </c>
      <c r="E25" s="4">
        <v>706.37</v>
      </c>
      <c r="F25" s="4">
        <v>6</v>
      </c>
      <c r="G25" s="4">
        <v>0</v>
      </c>
      <c r="H25" s="5">
        <v>45416</v>
      </c>
      <c r="I25">
        <f t="shared" si="0"/>
        <v>4238.22</v>
      </c>
      <c r="J25">
        <f t="shared" si="1"/>
        <v>4061.63</v>
      </c>
      <c r="K25" s="4">
        <v>176.59</v>
      </c>
      <c r="L25" t="str">
        <f t="shared" si="2"/>
        <v>May-2024</v>
      </c>
      <c r="M25" s="35">
        <f t="shared" ca="1" si="3"/>
        <v>46134.720372222226</v>
      </c>
    </row>
    <row r="26" spans="1:20" ht="15.75" customHeight="1" x14ac:dyDescent="0.3">
      <c r="A26" s="4" t="s">
        <v>15</v>
      </c>
      <c r="B26" s="4" t="s">
        <v>33</v>
      </c>
      <c r="C26" s="4" t="s">
        <v>36</v>
      </c>
      <c r="D26" s="4" t="s">
        <v>41</v>
      </c>
      <c r="E26" s="4">
        <v>925.31</v>
      </c>
      <c r="F26" s="4">
        <v>8</v>
      </c>
      <c r="G26" s="4">
        <v>0.1</v>
      </c>
      <c r="H26" s="5">
        <v>45418</v>
      </c>
      <c r="I26">
        <f t="shared" si="0"/>
        <v>7395.0775199999998</v>
      </c>
      <c r="J26">
        <f t="shared" si="1"/>
        <v>7020.3275199999998</v>
      </c>
      <c r="K26" s="4">
        <v>374.75</v>
      </c>
      <c r="L26" t="str">
        <f t="shared" si="2"/>
        <v>May-2024</v>
      </c>
      <c r="M26" s="35">
        <f t="shared" ca="1" si="3"/>
        <v>46134.720372222226</v>
      </c>
    </row>
    <row r="27" spans="1:20" ht="15.75" customHeight="1" x14ac:dyDescent="0.3">
      <c r="A27" s="4" t="s">
        <v>37</v>
      </c>
      <c r="B27" s="4" t="s">
        <v>52</v>
      </c>
      <c r="C27" s="4" t="s">
        <v>22</v>
      </c>
      <c r="D27" s="4" t="s">
        <v>23</v>
      </c>
      <c r="E27" s="4">
        <v>1173.1199999999999</v>
      </c>
      <c r="F27" s="4">
        <v>18</v>
      </c>
      <c r="G27" s="4">
        <v>0</v>
      </c>
      <c r="H27" s="5">
        <v>45418</v>
      </c>
      <c r="I27">
        <f t="shared" si="0"/>
        <v>21116.159999999996</v>
      </c>
      <c r="J27">
        <f t="shared" si="1"/>
        <v>20822.879999999997</v>
      </c>
      <c r="K27" s="4">
        <v>293.27999999999997</v>
      </c>
      <c r="L27" t="str">
        <f t="shared" si="2"/>
        <v>May-2024</v>
      </c>
      <c r="M27" s="35">
        <f t="shared" ca="1" si="3"/>
        <v>46134.720372222226</v>
      </c>
    </row>
    <row r="28" spans="1:20" ht="15.75" customHeight="1" x14ac:dyDescent="0.3">
      <c r="A28" s="4" t="s">
        <v>24</v>
      </c>
      <c r="B28" s="4" t="s">
        <v>53</v>
      </c>
      <c r="C28" s="4" t="s">
        <v>26</v>
      </c>
      <c r="D28" s="4" t="s">
        <v>29</v>
      </c>
      <c r="E28" s="4">
        <v>675.54</v>
      </c>
      <c r="F28" s="4">
        <v>17</v>
      </c>
      <c r="G28" s="4">
        <v>0</v>
      </c>
      <c r="H28" s="5">
        <v>45420</v>
      </c>
      <c r="I28">
        <f t="shared" si="0"/>
        <v>11484.18</v>
      </c>
      <c r="J28">
        <f t="shared" si="1"/>
        <v>11247.74</v>
      </c>
      <c r="K28" s="4">
        <v>236.44</v>
      </c>
      <c r="L28" t="str">
        <f t="shared" si="2"/>
        <v>May-2024</v>
      </c>
      <c r="M28" s="35">
        <f t="shared" ca="1" si="3"/>
        <v>46134.720372222226</v>
      </c>
    </row>
    <row r="29" spans="1:20" ht="15.75" customHeight="1" x14ac:dyDescent="0.3">
      <c r="A29" s="4" t="s">
        <v>27</v>
      </c>
      <c r="B29" s="4" t="s">
        <v>16</v>
      </c>
      <c r="C29" s="4" t="s">
        <v>36</v>
      </c>
      <c r="D29" s="4" t="s">
        <v>14</v>
      </c>
      <c r="E29" s="4">
        <v>939.09</v>
      </c>
      <c r="F29" s="4">
        <v>2</v>
      </c>
      <c r="G29" s="4">
        <v>0.05</v>
      </c>
      <c r="H29" s="5">
        <v>45422</v>
      </c>
      <c r="I29">
        <f t="shared" si="0"/>
        <v>1877.24091</v>
      </c>
      <c r="J29">
        <f t="shared" si="1"/>
        <v>1520.3909100000001</v>
      </c>
      <c r="K29" s="4">
        <v>356.85</v>
      </c>
      <c r="L29" t="str">
        <f t="shared" si="2"/>
        <v>May-2024</v>
      </c>
      <c r="M29" s="35">
        <f t="shared" ca="1" si="3"/>
        <v>46134.720372222226</v>
      </c>
    </row>
    <row r="30" spans="1:20" ht="15.75" customHeight="1" x14ac:dyDescent="0.3">
      <c r="A30" s="4" t="s">
        <v>54</v>
      </c>
      <c r="B30" s="4" t="s">
        <v>55</v>
      </c>
      <c r="C30" s="4" t="s">
        <v>20</v>
      </c>
      <c r="D30" s="4" t="s">
        <v>41</v>
      </c>
      <c r="E30" s="4">
        <v>983.34</v>
      </c>
      <c r="F30" s="4">
        <v>19</v>
      </c>
      <c r="G30" s="4">
        <v>0.1</v>
      </c>
      <c r="H30" s="5">
        <v>45426</v>
      </c>
      <c r="I30">
        <f t="shared" si="0"/>
        <v>18664.776539999999</v>
      </c>
      <c r="J30">
        <f t="shared" si="1"/>
        <v>18266.526539999999</v>
      </c>
      <c r="K30" s="4">
        <v>398.25</v>
      </c>
      <c r="L30" t="str">
        <f t="shared" si="2"/>
        <v>May-2024</v>
      </c>
      <c r="M30" s="35">
        <f t="shared" ca="1" si="3"/>
        <v>46134.720372222226</v>
      </c>
    </row>
    <row r="31" spans="1:20" ht="15.75" customHeight="1" x14ac:dyDescent="0.3">
      <c r="A31" s="4" t="s">
        <v>54</v>
      </c>
      <c r="B31" s="4" t="s">
        <v>25</v>
      </c>
      <c r="C31" s="4" t="s">
        <v>22</v>
      </c>
      <c r="D31" s="4" t="s">
        <v>23</v>
      </c>
      <c r="E31" s="4">
        <v>801.21</v>
      </c>
      <c r="F31" s="4">
        <v>3</v>
      </c>
      <c r="G31" s="4">
        <v>0.2</v>
      </c>
      <c r="H31" s="5">
        <v>45426</v>
      </c>
      <c r="I31">
        <f t="shared" si="0"/>
        <v>2398.8227400000001</v>
      </c>
      <c r="J31">
        <f t="shared" si="1"/>
        <v>2238.5827399999998</v>
      </c>
      <c r="K31" s="4">
        <v>160.24</v>
      </c>
      <c r="L31" t="str">
        <f t="shared" si="2"/>
        <v>May-2024</v>
      </c>
      <c r="M31" s="35">
        <f t="shared" ca="1" si="3"/>
        <v>46134.720372222226</v>
      </c>
      <c r="T31" s="4"/>
    </row>
    <row r="32" spans="1:20" ht="15.75" customHeight="1" x14ac:dyDescent="0.3">
      <c r="A32" s="4" t="s">
        <v>56</v>
      </c>
      <c r="B32" s="4" t="s">
        <v>57</v>
      </c>
      <c r="C32" s="4" t="s">
        <v>26</v>
      </c>
      <c r="D32" s="4" t="s">
        <v>23</v>
      </c>
      <c r="E32" s="4">
        <v>1450.71</v>
      </c>
      <c r="F32" s="4">
        <v>5</v>
      </c>
      <c r="G32" s="4">
        <v>0.1</v>
      </c>
      <c r="H32" s="5">
        <v>45427</v>
      </c>
      <c r="I32">
        <f t="shared" si="0"/>
        <v>7246.2964499999998</v>
      </c>
      <c r="J32">
        <f t="shared" si="1"/>
        <v>6919.88645</v>
      </c>
      <c r="K32" s="4">
        <v>326.41000000000003</v>
      </c>
      <c r="L32" t="str">
        <f t="shared" si="2"/>
        <v>May-2024</v>
      </c>
      <c r="M32" s="35">
        <f t="shared" ca="1" si="3"/>
        <v>46134.720372222226</v>
      </c>
      <c r="T32" s="4"/>
    </row>
    <row r="33" spans="1:20" ht="15.75" customHeight="1" x14ac:dyDescent="0.3">
      <c r="A33" s="4" t="s">
        <v>51</v>
      </c>
      <c r="B33" s="4" t="s">
        <v>58</v>
      </c>
      <c r="C33" s="4" t="s">
        <v>36</v>
      </c>
      <c r="D33" s="4" t="s">
        <v>14</v>
      </c>
      <c r="E33" s="4">
        <v>1023.21</v>
      </c>
      <c r="F33" s="4">
        <v>18</v>
      </c>
      <c r="G33" s="4">
        <v>0.05</v>
      </c>
      <c r="H33" s="5">
        <v>45428</v>
      </c>
      <c r="I33">
        <f t="shared" si="0"/>
        <v>18408.571109999997</v>
      </c>
      <c r="J33">
        <f t="shared" si="1"/>
        <v>18019.751109999997</v>
      </c>
      <c r="K33" s="4">
        <v>388.82</v>
      </c>
      <c r="L33" t="str">
        <f t="shared" si="2"/>
        <v>May-2024</v>
      </c>
      <c r="M33" s="35">
        <f t="shared" ca="1" si="3"/>
        <v>46134.720372222226</v>
      </c>
      <c r="T33" s="4"/>
    </row>
    <row r="34" spans="1:20" ht="15.75" customHeight="1" x14ac:dyDescent="0.3">
      <c r="A34" s="4" t="s">
        <v>30</v>
      </c>
      <c r="B34" s="4" t="s">
        <v>49</v>
      </c>
      <c r="C34" s="4" t="s">
        <v>13</v>
      </c>
      <c r="D34" s="4" t="s">
        <v>29</v>
      </c>
      <c r="E34" s="4">
        <v>853.72</v>
      </c>
      <c r="F34" s="4">
        <v>5</v>
      </c>
      <c r="G34" s="4">
        <v>0.15</v>
      </c>
      <c r="H34" s="5">
        <v>45428</v>
      </c>
      <c r="I34">
        <f t="shared" si="0"/>
        <v>4262.1971000000003</v>
      </c>
      <c r="J34">
        <f t="shared" si="1"/>
        <v>4008.2171000000003</v>
      </c>
      <c r="K34" s="4">
        <v>253.98</v>
      </c>
      <c r="L34" t="str">
        <f t="shared" si="2"/>
        <v>May-2024</v>
      </c>
      <c r="M34" s="35">
        <f t="shared" ca="1" si="3"/>
        <v>46134.720372222226</v>
      </c>
      <c r="T34" s="4"/>
    </row>
    <row r="35" spans="1:20" ht="15.75" customHeight="1" x14ac:dyDescent="0.3">
      <c r="A35" s="4" t="s">
        <v>59</v>
      </c>
      <c r="B35" s="4" t="s">
        <v>45</v>
      </c>
      <c r="C35" s="4" t="s">
        <v>22</v>
      </c>
      <c r="D35" s="4" t="s">
        <v>23</v>
      </c>
      <c r="E35" s="4">
        <v>967.89</v>
      </c>
      <c r="F35" s="4">
        <v>10</v>
      </c>
      <c r="G35" s="4">
        <v>0.1</v>
      </c>
      <c r="H35" s="5">
        <v>45429</v>
      </c>
      <c r="I35">
        <f t="shared" si="0"/>
        <v>9669.2210999999988</v>
      </c>
      <c r="J35">
        <f t="shared" si="1"/>
        <v>9451.4410999999982</v>
      </c>
      <c r="K35" s="4">
        <v>217.78</v>
      </c>
      <c r="L35" t="str">
        <f t="shared" si="2"/>
        <v>May-2024</v>
      </c>
      <c r="M35" s="35">
        <f t="shared" ca="1" si="3"/>
        <v>46134.720372222226</v>
      </c>
      <c r="T35" s="4"/>
    </row>
    <row r="36" spans="1:20" ht="15.75" customHeight="1" x14ac:dyDescent="0.3">
      <c r="A36" s="4" t="s">
        <v>60</v>
      </c>
      <c r="B36" s="4" t="s">
        <v>55</v>
      </c>
      <c r="C36" s="4" t="s">
        <v>26</v>
      </c>
      <c r="D36" s="4" t="s">
        <v>41</v>
      </c>
      <c r="E36" s="4">
        <v>1200.9000000000001</v>
      </c>
      <c r="F36" s="4">
        <v>14</v>
      </c>
      <c r="G36" s="4">
        <v>0.05</v>
      </c>
      <c r="H36" s="5">
        <v>45429</v>
      </c>
      <c r="I36">
        <f t="shared" si="0"/>
        <v>16804.193700000003</v>
      </c>
      <c r="J36">
        <f t="shared" si="1"/>
        <v>16290.813700000004</v>
      </c>
      <c r="K36" s="4">
        <v>513.38</v>
      </c>
      <c r="L36" t="str">
        <f t="shared" si="2"/>
        <v>May-2024</v>
      </c>
      <c r="M36" s="35">
        <f t="shared" ca="1" si="3"/>
        <v>46134.720372222226</v>
      </c>
      <c r="T36" s="4"/>
    </row>
    <row r="37" spans="1:20" ht="15.75" customHeight="1" x14ac:dyDescent="0.3">
      <c r="A37" s="4" t="s">
        <v>15</v>
      </c>
      <c r="B37" s="4" t="s">
        <v>28</v>
      </c>
      <c r="C37" s="4" t="s">
        <v>13</v>
      </c>
      <c r="D37" s="4" t="s">
        <v>14</v>
      </c>
      <c r="E37" s="4">
        <v>472.38</v>
      </c>
      <c r="F37" s="4">
        <v>12</v>
      </c>
      <c r="G37" s="4">
        <v>0.2</v>
      </c>
      <c r="H37" s="5">
        <v>45429</v>
      </c>
      <c r="I37">
        <f t="shared" si="0"/>
        <v>5657.2228799999993</v>
      </c>
      <c r="J37">
        <f t="shared" si="1"/>
        <v>5506.0628799999995</v>
      </c>
      <c r="K37" s="4">
        <v>151.16</v>
      </c>
      <c r="L37" t="str">
        <f t="shared" si="2"/>
        <v>May-2024</v>
      </c>
      <c r="M37" s="35">
        <f t="shared" ca="1" si="3"/>
        <v>46134.720372222226</v>
      </c>
      <c r="T37" s="4"/>
    </row>
    <row r="38" spans="1:20" ht="15.75" customHeight="1" x14ac:dyDescent="0.3">
      <c r="A38" s="4" t="s">
        <v>11</v>
      </c>
      <c r="B38" s="4" t="s">
        <v>57</v>
      </c>
      <c r="C38" s="4" t="s">
        <v>20</v>
      </c>
      <c r="D38" s="4" t="s">
        <v>41</v>
      </c>
      <c r="E38" s="4">
        <v>840.92</v>
      </c>
      <c r="F38" s="4">
        <v>9</v>
      </c>
      <c r="G38" s="4">
        <v>0.05</v>
      </c>
      <c r="H38" s="5">
        <v>45429</v>
      </c>
      <c r="I38">
        <f t="shared" si="0"/>
        <v>7564.49586</v>
      </c>
      <c r="J38">
        <f t="shared" si="1"/>
        <v>7205.0058600000002</v>
      </c>
      <c r="K38" s="4">
        <v>359.49</v>
      </c>
      <c r="L38" t="str">
        <f t="shared" si="2"/>
        <v>May-2024</v>
      </c>
      <c r="M38" s="35">
        <f t="shared" ca="1" si="3"/>
        <v>46134.720372222226</v>
      </c>
      <c r="T38" s="4"/>
    </row>
    <row r="39" spans="1:20" ht="15.75" customHeight="1" x14ac:dyDescent="0.3">
      <c r="A39" s="4" t="s">
        <v>54</v>
      </c>
      <c r="B39" s="4" t="s">
        <v>50</v>
      </c>
      <c r="C39" s="4" t="s">
        <v>36</v>
      </c>
      <c r="D39" s="4" t="s">
        <v>29</v>
      </c>
      <c r="E39" s="4">
        <v>1410.06</v>
      </c>
      <c r="F39" s="4">
        <v>11</v>
      </c>
      <c r="G39" s="4">
        <v>0.05</v>
      </c>
      <c r="H39" s="5">
        <v>45434</v>
      </c>
      <c r="I39">
        <f t="shared" si="0"/>
        <v>15502.90467</v>
      </c>
      <c r="J39">
        <f t="shared" si="1"/>
        <v>15034.06467</v>
      </c>
      <c r="K39" s="4">
        <v>468.84</v>
      </c>
      <c r="L39" t="str">
        <f t="shared" si="2"/>
        <v>May-2024</v>
      </c>
      <c r="M39" s="35">
        <f t="shared" ca="1" si="3"/>
        <v>46134.720372222226</v>
      </c>
      <c r="T39" s="4"/>
    </row>
    <row r="40" spans="1:20" ht="15.75" customHeight="1" x14ac:dyDescent="0.3">
      <c r="A40" s="4" t="s">
        <v>46</v>
      </c>
      <c r="B40" s="4" t="s">
        <v>61</v>
      </c>
      <c r="C40" s="4" t="s">
        <v>36</v>
      </c>
      <c r="D40" s="4" t="s">
        <v>29</v>
      </c>
      <c r="E40" s="4">
        <v>773.09</v>
      </c>
      <c r="F40" s="4">
        <v>13</v>
      </c>
      <c r="G40" s="4">
        <v>0.15</v>
      </c>
      <c r="H40" s="5">
        <v>45434</v>
      </c>
      <c r="I40">
        <f t="shared" si="0"/>
        <v>10035.094745</v>
      </c>
      <c r="J40">
        <f t="shared" si="1"/>
        <v>9805.1047450000005</v>
      </c>
      <c r="K40" s="4">
        <v>229.99</v>
      </c>
      <c r="L40" t="str">
        <f t="shared" si="2"/>
        <v>May-2024</v>
      </c>
      <c r="M40" s="35">
        <f t="shared" ca="1" si="3"/>
        <v>46134.720372222226</v>
      </c>
      <c r="T40" s="4"/>
    </row>
    <row r="41" spans="1:20" ht="15.75" customHeight="1" x14ac:dyDescent="0.3">
      <c r="A41" s="4" t="s">
        <v>62</v>
      </c>
      <c r="B41" s="4" t="s">
        <v>63</v>
      </c>
      <c r="C41" s="4" t="s">
        <v>20</v>
      </c>
      <c r="D41" s="4" t="s">
        <v>14</v>
      </c>
      <c r="E41" s="4">
        <v>580.42999999999995</v>
      </c>
      <c r="F41" s="4">
        <v>19</v>
      </c>
      <c r="G41" s="4">
        <v>0.15</v>
      </c>
      <c r="H41" s="5">
        <v>45435</v>
      </c>
      <c r="I41">
        <f t="shared" si="0"/>
        <v>11011.627744999998</v>
      </c>
      <c r="J41">
        <f t="shared" si="1"/>
        <v>10814.277744999998</v>
      </c>
      <c r="K41" s="4">
        <v>197.35</v>
      </c>
      <c r="L41" t="str">
        <f t="shared" si="2"/>
        <v>May-2024</v>
      </c>
      <c r="M41" s="35">
        <f t="shared" ca="1" si="3"/>
        <v>46134.720372222226</v>
      </c>
      <c r="T41" s="4"/>
    </row>
    <row r="42" spans="1:20" ht="15.75" customHeight="1" x14ac:dyDescent="0.3">
      <c r="A42" s="4" t="s">
        <v>21</v>
      </c>
      <c r="B42" s="4" t="s">
        <v>44</v>
      </c>
      <c r="C42" s="4" t="s">
        <v>22</v>
      </c>
      <c r="D42" s="4" t="s">
        <v>14</v>
      </c>
      <c r="E42" s="4">
        <v>1151.21</v>
      </c>
      <c r="F42" s="4">
        <v>15</v>
      </c>
      <c r="G42" s="4">
        <v>0.1</v>
      </c>
      <c r="H42" s="5">
        <v>45445</v>
      </c>
      <c r="I42">
        <f t="shared" si="0"/>
        <v>17250.881850000002</v>
      </c>
      <c r="J42">
        <f t="shared" si="1"/>
        <v>16836.441850000003</v>
      </c>
      <c r="K42" s="4">
        <v>414.44</v>
      </c>
      <c r="L42" t="str">
        <f t="shared" si="2"/>
        <v>Jun-2024</v>
      </c>
      <c r="M42" s="35">
        <f t="shared" ca="1" si="3"/>
        <v>46134.720372222226</v>
      </c>
      <c r="T42" s="4"/>
    </row>
    <row r="43" spans="1:20" ht="15.75" customHeight="1" x14ac:dyDescent="0.3">
      <c r="A43" s="4" t="s">
        <v>54</v>
      </c>
      <c r="B43" s="4" t="s">
        <v>25</v>
      </c>
      <c r="C43" s="4" t="s">
        <v>36</v>
      </c>
      <c r="D43" s="4" t="s">
        <v>41</v>
      </c>
      <c r="E43" s="4">
        <v>1025.98</v>
      </c>
      <c r="F43" s="4">
        <v>5</v>
      </c>
      <c r="G43" s="4">
        <v>0.2</v>
      </c>
      <c r="H43" s="5">
        <v>45447</v>
      </c>
      <c r="I43">
        <f t="shared" si="0"/>
        <v>5119.6401999999998</v>
      </c>
      <c r="J43">
        <f t="shared" si="1"/>
        <v>4750.2901999999995</v>
      </c>
      <c r="K43" s="4">
        <v>369.35</v>
      </c>
      <c r="L43" t="str">
        <f t="shared" si="2"/>
        <v>Jun-2024</v>
      </c>
      <c r="M43" s="35">
        <f t="shared" ca="1" si="3"/>
        <v>46134.720372222226</v>
      </c>
      <c r="T43" s="4"/>
    </row>
    <row r="44" spans="1:20" ht="15.75" customHeight="1" x14ac:dyDescent="0.3">
      <c r="A44" s="4" t="s">
        <v>42</v>
      </c>
      <c r="B44" s="4" t="s">
        <v>58</v>
      </c>
      <c r="C44" s="4" t="s">
        <v>20</v>
      </c>
      <c r="D44" s="4" t="s">
        <v>41</v>
      </c>
      <c r="E44" s="4">
        <v>556.41999999999996</v>
      </c>
      <c r="F44" s="4">
        <v>11</v>
      </c>
      <c r="G44" s="4">
        <v>0.15</v>
      </c>
      <c r="H44" s="5">
        <v>45447</v>
      </c>
      <c r="I44">
        <f t="shared" si="0"/>
        <v>6111.4390699999994</v>
      </c>
      <c r="J44">
        <f t="shared" si="1"/>
        <v>5898.6090699999995</v>
      </c>
      <c r="K44" s="4">
        <v>212.83</v>
      </c>
      <c r="L44" t="str">
        <f t="shared" si="2"/>
        <v>Jun-2024</v>
      </c>
      <c r="M44" s="35">
        <f t="shared" ca="1" si="3"/>
        <v>46134.720372222226</v>
      </c>
      <c r="T44" s="4"/>
    </row>
    <row r="45" spans="1:20" ht="15.75" customHeight="1" x14ac:dyDescent="0.3">
      <c r="A45" s="4" t="s">
        <v>59</v>
      </c>
      <c r="B45" s="4" t="s">
        <v>25</v>
      </c>
      <c r="C45" s="4" t="s">
        <v>36</v>
      </c>
      <c r="D45" s="4" t="s">
        <v>14</v>
      </c>
      <c r="E45" s="4">
        <v>840.85</v>
      </c>
      <c r="F45" s="4">
        <v>19</v>
      </c>
      <c r="G45" s="4">
        <v>0.1</v>
      </c>
      <c r="H45" s="5">
        <v>45448</v>
      </c>
      <c r="I45">
        <f t="shared" si="0"/>
        <v>15960.173849999999</v>
      </c>
      <c r="J45">
        <f t="shared" si="1"/>
        <v>15657.46385</v>
      </c>
      <c r="K45" s="4">
        <v>302.70999999999998</v>
      </c>
      <c r="L45" t="str">
        <f t="shared" si="2"/>
        <v>Jun-2024</v>
      </c>
      <c r="M45" s="35">
        <f t="shared" ca="1" si="3"/>
        <v>46134.720372222226</v>
      </c>
      <c r="T45" s="4"/>
    </row>
    <row r="46" spans="1:20" ht="15.75" customHeight="1" x14ac:dyDescent="0.3">
      <c r="A46" s="4" t="s">
        <v>32</v>
      </c>
      <c r="B46" s="4" t="s">
        <v>63</v>
      </c>
      <c r="C46" s="4" t="s">
        <v>26</v>
      </c>
      <c r="D46" s="4" t="s">
        <v>29</v>
      </c>
      <c r="E46" s="4">
        <v>1227.25</v>
      </c>
      <c r="F46" s="4">
        <v>12</v>
      </c>
      <c r="G46" s="4">
        <v>0.15</v>
      </c>
      <c r="H46" s="5">
        <v>45448</v>
      </c>
      <c r="I46">
        <f t="shared" si="0"/>
        <v>14704.9095</v>
      </c>
      <c r="J46">
        <f t="shared" si="1"/>
        <v>14339.799499999999</v>
      </c>
      <c r="K46" s="4">
        <v>365.11</v>
      </c>
      <c r="L46" t="str">
        <f t="shared" si="2"/>
        <v>Jun-2024</v>
      </c>
      <c r="M46" s="35">
        <f t="shared" ca="1" si="3"/>
        <v>46134.720372222226</v>
      </c>
      <c r="T46" s="4"/>
    </row>
    <row r="47" spans="1:20" ht="15.75" customHeight="1" x14ac:dyDescent="0.3">
      <c r="A47" s="4" t="s">
        <v>18</v>
      </c>
      <c r="B47" s="4" t="s">
        <v>64</v>
      </c>
      <c r="C47" s="4" t="s">
        <v>36</v>
      </c>
      <c r="D47" s="4" t="s">
        <v>23</v>
      </c>
      <c r="E47" s="4">
        <v>856.7</v>
      </c>
      <c r="F47" s="4">
        <v>2</v>
      </c>
      <c r="G47" s="4">
        <v>0</v>
      </c>
      <c r="H47" s="5">
        <v>45449</v>
      </c>
      <c r="I47">
        <f t="shared" si="0"/>
        <v>1713.4</v>
      </c>
      <c r="J47">
        <f t="shared" si="1"/>
        <v>1499.22</v>
      </c>
      <c r="K47" s="4">
        <v>214.18</v>
      </c>
      <c r="L47" t="str">
        <f t="shared" si="2"/>
        <v>Jun-2024</v>
      </c>
      <c r="M47" s="35">
        <f t="shared" ca="1" si="3"/>
        <v>46134.720372222226</v>
      </c>
      <c r="T47" s="4"/>
    </row>
    <row r="48" spans="1:20" ht="15.75" customHeight="1" x14ac:dyDescent="0.3">
      <c r="A48" s="4" t="s">
        <v>56</v>
      </c>
      <c r="B48" s="4" t="s">
        <v>58</v>
      </c>
      <c r="C48" s="4" t="s">
        <v>36</v>
      </c>
      <c r="D48" s="4" t="s">
        <v>41</v>
      </c>
      <c r="E48" s="4">
        <v>1225.42</v>
      </c>
      <c r="F48" s="4">
        <v>8</v>
      </c>
      <c r="G48" s="4">
        <v>0.15</v>
      </c>
      <c r="H48" s="5">
        <v>45449</v>
      </c>
      <c r="I48">
        <f t="shared" si="0"/>
        <v>9788.6549599999998</v>
      </c>
      <c r="J48">
        <f t="shared" si="1"/>
        <v>9319.9349600000005</v>
      </c>
      <c r="K48" s="4">
        <v>468.72</v>
      </c>
      <c r="L48" t="str">
        <f t="shared" si="2"/>
        <v>Jun-2024</v>
      </c>
      <c r="M48" s="35">
        <f t="shared" ca="1" si="3"/>
        <v>46134.720372222226</v>
      </c>
      <c r="T48" s="4"/>
    </row>
    <row r="49" spans="1:29" ht="15.75" customHeight="1" x14ac:dyDescent="0.3">
      <c r="A49" s="4" t="s">
        <v>65</v>
      </c>
      <c r="B49" s="4" t="s">
        <v>33</v>
      </c>
      <c r="C49" s="4" t="s">
        <v>26</v>
      </c>
      <c r="D49" s="4" t="s">
        <v>41</v>
      </c>
      <c r="E49" s="4">
        <v>1001.57</v>
      </c>
      <c r="F49" s="4">
        <v>12</v>
      </c>
      <c r="G49" s="4">
        <v>0</v>
      </c>
      <c r="H49" s="5">
        <v>45450</v>
      </c>
      <c r="I49">
        <f t="shared" si="0"/>
        <v>12018.84</v>
      </c>
      <c r="J49">
        <f t="shared" si="1"/>
        <v>11568.130000000001</v>
      </c>
      <c r="K49" s="4">
        <v>450.71</v>
      </c>
      <c r="L49" t="str">
        <f t="shared" si="2"/>
        <v>Jun-2024</v>
      </c>
      <c r="M49" s="35">
        <f t="shared" ca="1" si="3"/>
        <v>46134.720372222226</v>
      </c>
      <c r="T49" s="4"/>
    </row>
    <row r="50" spans="1:29" ht="15.75" customHeight="1" x14ac:dyDescent="0.3">
      <c r="A50" s="4" t="s">
        <v>59</v>
      </c>
      <c r="B50" s="4" t="s">
        <v>28</v>
      </c>
      <c r="C50" s="4" t="s">
        <v>20</v>
      </c>
      <c r="D50" s="4" t="s">
        <v>29</v>
      </c>
      <c r="E50" s="4">
        <v>1186.8499999999999</v>
      </c>
      <c r="F50" s="4">
        <v>19</v>
      </c>
      <c r="G50" s="4">
        <v>0.2</v>
      </c>
      <c r="H50" s="5">
        <v>45451</v>
      </c>
      <c r="I50">
        <f t="shared" si="0"/>
        <v>22505.0497</v>
      </c>
      <c r="J50">
        <f t="shared" si="1"/>
        <v>22172.7297</v>
      </c>
      <c r="K50" s="4">
        <v>332.32</v>
      </c>
      <c r="L50" t="str">
        <f t="shared" si="2"/>
        <v>Jun-2024</v>
      </c>
      <c r="M50" s="35">
        <f t="shared" ca="1" si="3"/>
        <v>46134.720372222226</v>
      </c>
      <c r="T50" s="4"/>
    </row>
    <row r="51" spans="1:29" ht="15.75" customHeight="1" x14ac:dyDescent="0.3">
      <c r="A51" s="4" t="s">
        <v>46</v>
      </c>
      <c r="B51" s="4" t="s">
        <v>53</v>
      </c>
      <c r="C51" s="4" t="s">
        <v>22</v>
      </c>
      <c r="D51" s="4" t="s">
        <v>23</v>
      </c>
      <c r="E51" s="4">
        <v>775.45</v>
      </c>
      <c r="F51" s="4">
        <v>6</v>
      </c>
      <c r="G51" s="4">
        <v>0.1</v>
      </c>
      <c r="H51" s="5">
        <v>45457</v>
      </c>
      <c r="I51">
        <f t="shared" si="0"/>
        <v>4648.0473000000011</v>
      </c>
      <c r="J51">
        <f t="shared" si="1"/>
        <v>4473.5673000000015</v>
      </c>
      <c r="K51" s="4">
        <v>174.48</v>
      </c>
      <c r="L51" t="str">
        <f t="shared" si="2"/>
        <v>Jun-2024</v>
      </c>
      <c r="M51" s="35">
        <f t="shared" ca="1" si="3"/>
        <v>46134.720372222226</v>
      </c>
      <c r="T51" s="4"/>
    </row>
    <row r="52" spans="1:29" ht="15.75" customHeight="1" x14ac:dyDescent="0.3">
      <c r="A52" s="4" t="s">
        <v>27</v>
      </c>
      <c r="B52" s="4" t="s">
        <v>35</v>
      </c>
      <c r="C52" s="4" t="s">
        <v>22</v>
      </c>
      <c r="D52" s="4" t="s">
        <v>23</v>
      </c>
      <c r="E52" s="4">
        <v>1021.47</v>
      </c>
      <c r="F52" s="4">
        <v>6</v>
      </c>
      <c r="G52" s="4">
        <v>0.05</v>
      </c>
      <c r="H52" s="5">
        <v>45461</v>
      </c>
      <c r="I52">
        <f t="shared" si="0"/>
        <v>6125.7555899999998</v>
      </c>
      <c r="J52">
        <f t="shared" si="1"/>
        <v>5883.1555899999994</v>
      </c>
      <c r="K52" s="4">
        <v>242.6</v>
      </c>
      <c r="L52" t="str">
        <f t="shared" si="2"/>
        <v>Jun-2024</v>
      </c>
      <c r="M52" s="35">
        <f t="shared" ca="1" si="3"/>
        <v>46134.720372222226</v>
      </c>
      <c r="T52" s="4"/>
    </row>
    <row r="53" spans="1:29" ht="15.75" customHeight="1" x14ac:dyDescent="0.3">
      <c r="A53" s="4" t="s">
        <v>60</v>
      </c>
      <c r="B53" s="4" t="s">
        <v>25</v>
      </c>
      <c r="C53" s="4" t="s">
        <v>22</v>
      </c>
      <c r="D53" s="4" t="s">
        <v>17</v>
      </c>
      <c r="E53" s="4">
        <v>1226.6199999999999</v>
      </c>
      <c r="F53" s="4">
        <v>7</v>
      </c>
      <c r="G53" s="4">
        <v>0.1</v>
      </c>
      <c r="H53" s="5">
        <v>45463</v>
      </c>
      <c r="I53">
        <f t="shared" si="0"/>
        <v>8577.7536600000003</v>
      </c>
      <c r="J53">
        <f t="shared" si="1"/>
        <v>8025.7736600000007</v>
      </c>
      <c r="K53" s="4">
        <v>551.98</v>
      </c>
      <c r="L53" t="str">
        <f t="shared" si="2"/>
        <v>Jun-2024</v>
      </c>
      <c r="M53" s="35">
        <f t="shared" ca="1" si="3"/>
        <v>46134.720372222226</v>
      </c>
      <c r="T53" s="4"/>
    </row>
    <row r="54" spans="1:29" ht="15.75" customHeight="1" x14ac:dyDescent="0.3">
      <c r="A54" s="4" t="s">
        <v>24</v>
      </c>
      <c r="B54" s="4" t="s">
        <v>66</v>
      </c>
      <c r="C54" s="4" t="s">
        <v>22</v>
      </c>
      <c r="D54" s="4" t="s">
        <v>29</v>
      </c>
      <c r="E54" s="4">
        <v>1086.93</v>
      </c>
      <c r="F54" s="4">
        <v>2</v>
      </c>
      <c r="G54" s="4">
        <v>0</v>
      </c>
      <c r="H54" s="5">
        <v>45464</v>
      </c>
      <c r="I54">
        <f t="shared" si="0"/>
        <v>2173.86</v>
      </c>
      <c r="J54">
        <f t="shared" si="1"/>
        <v>1793.43</v>
      </c>
      <c r="K54" s="4">
        <v>380.43</v>
      </c>
      <c r="L54" t="str">
        <f t="shared" si="2"/>
        <v>Jun-2024</v>
      </c>
      <c r="M54" s="35">
        <f t="shared" ca="1" si="3"/>
        <v>46134.720372222226</v>
      </c>
      <c r="T54" s="4"/>
    </row>
    <row r="55" spans="1:29" ht="15.75" customHeight="1" x14ac:dyDescent="0.3">
      <c r="A55" s="4" t="s">
        <v>67</v>
      </c>
      <c r="B55" s="4" t="s">
        <v>50</v>
      </c>
      <c r="C55" s="4" t="s">
        <v>13</v>
      </c>
      <c r="D55" s="4" t="s">
        <v>14</v>
      </c>
      <c r="E55" s="4">
        <v>942.9</v>
      </c>
      <c r="F55" s="4">
        <v>18</v>
      </c>
      <c r="G55" s="4">
        <v>0.1</v>
      </c>
      <c r="H55" s="5">
        <v>45466</v>
      </c>
      <c r="I55">
        <f t="shared" si="0"/>
        <v>16955.227800000001</v>
      </c>
      <c r="J55">
        <f t="shared" si="1"/>
        <v>16615.787800000002</v>
      </c>
      <c r="K55" s="4">
        <v>339.44</v>
      </c>
      <c r="L55" t="str">
        <f t="shared" si="2"/>
        <v>Jun-2024</v>
      </c>
      <c r="M55" s="35">
        <f t="shared" ca="1" si="3"/>
        <v>46134.720372222226</v>
      </c>
      <c r="T55" s="4"/>
    </row>
    <row r="56" spans="1:29" ht="15.75" customHeight="1" x14ac:dyDescent="0.3">
      <c r="A56" s="4" t="s">
        <v>34</v>
      </c>
      <c r="B56" s="4" t="s">
        <v>40</v>
      </c>
      <c r="C56" s="4" t="s">
        <v>26</v>
      </c>
      <c r="D56" s="4" t="s">
        <v>23</v>
      </c>
      <c r="E56" s="4">
        <v>818.8</v>
      </c>
      <c r="F56" s="4">
        <v>15</v>
      </c>
      <c r="G56" s="4">
        <v>0.15</v>
      </c>
      <c r="H56" s="5">
        <v>45468</v>
      </c>
      <c r="I56">
        <f t="shared" si="0"/>
        <v>12263.576999999999</v>
      </c>
      <c r="J56">
        <f t="shared" si="1"/>
        <v>12089.587</v>
      </c>
      <c r="K56" s="4">
        <v>173.99</v>
      </c>
      <c r="L56" t="str">
        <f t="shared" si="2"/>
        <v>Jun-2024</v>
      </c>
      <c r="M56" s="35">
        <f t="shared" ca="1" si="3"/>
        <v>46134.720372222226</v>
      </c>
      <c r="T56" s="4"/>
    </row>
    <row r="57" spans="1:29" ht="15.75" customHeight="1" x14ac:dyDescent="0.3">
      <c r="A57" s="4" t="s">
        <v>21</v>
      </c>
      <c r="B57" s="4" t="s">
        <v>16</v>
      </c>
      <c r="C57" s="4" t="s">
        <v>22</v>
      </c>
      <c r="D57" s="4" t="s">
        <v>29</v>
      </c>
      <c r="E57" s="4">
        <v>919.04</v>
      </c>
      <c r="F57" s="4">
        <v>10</v>
      </c>
      <c r="G57" s="4">
        <v>0.2</v>
      </c>
      <c r="H57" s="5">
        <v>45468</v>
      </c>
      <c r="I57">
        <f t="shared" si="0"/>
        <v>9172.0191999999988</v>
      </c>
      <c r="J57">
        <f t="shared" si="1"/>
        <v>8914.6891999999989</v>
      </c>
      <c r="K57" s="4">
        <v>257.33</v>
      </c>
      <c r="L57" t="str">
        <f t="shared" si="2"/>
        <v>Jun-2024</v>
      </c>
      <c r="M57" s="35">
        <f t="shared" ca="1" si="3"/>
        <v>46134.720372222226</v>
      </c>
      <c r="T57" s="4"/>
    </row>
    <row r="58" spans="1:29" ht="15.75" customHeight="1" x14ac:dyDescent="0.3">
      <c r="A58" s="4" t="s">
        <v>24</v>
      </c>
      <c r="B58" s="4" t="s">
        <v>68</v>
      </c>
      <c r="C58" s="4" t="s">
        <v>36</v>
      </c>
      <c r="D58" s="4" t="s">
        <v>14</v>
      </c>
      <c r="E58" s="4">
        <v>973.26</v>
      </c>
      <c r="F58" s="4">
        <v>11</v>
      </c>
      <c r="G58" s="4">
        <v>0</v>
      </c>
      <c r="H58" s="5">
        <v>45470</v>
      </c>
      <c r="I58">
        <f t="shared" si="0"/>
        <v>10705.86</v>
      </c>
      <c r="J58">
        <f t="shared" si="1"/>
        <v>10316.560000000001</v>
      </c>
      <c r="K58" s="4">
        <v>389.3</v>
      </c>
      <c r="L58" t="str">
        <f t="shared" si="2"/>
        <v>Jun-2024</v>
      </c>
      <c r="M58" s="35">
        <f t="shared" ca="1" si="3"/>
        <v>46134.720372222226</v>
      </c>
      <c r="T58" s="4"/>
    </row>
    <row r="59" spans="1:29" ht="15.75" customHeight="1" x14ac:dyDescent="0.3">
      <c r="A59" s="4" t="s">
        <v>43</v>
      </c>
      <c r="B59" s="4" t="s">
        <v>66</v>
      </c>
      <c r="C59" s="4" t="s">
        <v>26</v>
      </c>
      <c r="D59" s="4" t="s">
        <v>23</v>
      </c>
      <c r="E59" s="4">
        <v>741.61</v>
      </c>
      <c r="F59" s="4">
        <v>1</v>
      </c>
      <c r="G59" s="4">
        <v>0.2</v>
      </c>
      <c r="H59" s="5">
        <v>45471</v>
      </c>
      <c r="I59">
        <f t="shared" si="0"/>
        <v>740.12678000000005</v>
      </c>
      <c r="J59">
        <f t="shared" si="1"/>
        <v>591.80678000000012</v>
      </c>
      <c r="K59" s="4">
        <v>148.32</v>
      </c>
      <c r="L59" t="str">
        <f t="shared" si="2"/>
        <v>Jun-2024</v>
      </c>
      <c r="M59" s="35">
        <f t="shared" ca="1" si="3"/>
        <v>46134.720372222226</v>
      </c>
      <c r="T59" s="4"/>
    </row>
    <row r="60" spans="1:29" ht="15.75" customHeight="1" x14ac:dyDescent="0.3">
      <c r="A60" s="4" t="s">
        <v>69</v>
      </c>
      <c r="B60" s="4" t="s">
        <v>40</v>
      </c>
      <c r="C60" s="4" t="s">
        <v>26</v>
      </c>
      <c r="D60" s="4" t="s">
        <v>14</v>
      </c>
      <c r="E60" s="4">
        <v>1248.82</v>
      </c>
      <c r="F60" s="4">
        <v>2</v>
      </c>
      <c r="G60" s="4">
        <v>0.1</v>
      </c>
      <c r="H60" s="5">
        <v>45473</v>
      </c>
      <c r="I60">
        <f t="shared" si="0"/>
        <v>2495.1423599999998</v>
      </c>
      <c r="J60">
        <f t="shared" si="1"/>
        <v>2045.5623599999999</v>
      </c>
      <c r="K60" s="4">
        <v>449.58</v>
      </c>
      <c r="L60" t="str">
        <f t="shared" si="2"/>
        <v>Jun-2024</v>
      </c>
      <c r="M60" s="35">
        <f t="shared" ca="1" si="3"/>
        <v>46134.720372222226</v>
      </c>
      <c r="T60" s="4"/>
    </row>
    <row r="61" spans="1:29" ht="15.75" customHeight="1" x14ac:dyDescent="0.3">
      <c r="A61" s="4" t="s">
        <v>15</v>
      </c>
      <c r="B61" s="4" t="s">
        <v>61</v>
      </c>
      <c r="C61" s="4" t="s">
        <v>13</v>
      </c>
      <c r="D61" s="4" t="s">
        <v>17</v>
      </c>
      <c r="E61" s="4">
        <v>1360.36</v>
      </c>
      <c r="F61" s="4">
        <v>17</v>
      </c>
      <c r="G61" s="4">
        <v>0</v>
      </c>
      <c r="H61" s="5">
        <v>45473</v>
      </c>
      <c r="I61">
        <f t="shared" si="0"/>
        <v>23126.12</v>
      </c>
      <c r="J61">
        <f t="shared" si="1"/>
        <v>22445.94</v>
      </c>
      <c r="K61" s="4">
        <v>680.18</v>
      </c>
      <c r="L61" t="str">
        <f t="shared" si="2"/>
        <v>Jun-2024</v>
      </c>
      <c r="M61" s="35">
        <f t="shared" ca="1" si="3"/>
        <v>46134.720372222226</v>
      </c>
      <c r="T61" s="22" t="s">
        <v>78</v>
      </c>
      <c r="U61" s="22"/>
      <c r="V61" s="22"/>
      <c r="W61" s="22"/>
      <c r="X61" s="22"/>
      <c r="Y61" s="22"/>
      <c r="Z61" s="22"/>
      <c r="AA61" s="22"/>
      <c r="AB61" s="24"/>
      <c r="AC61" s="23" t="s">
        <v>6</v>
      </c>
    </row>
    <row r="62" spans="1:29" ht="15.75" customHeight="1" x14ac:dyDescent="0.3">
      <c r="A62" s="4" t="s">
        <v>59</v>
      </c>
      <c r="B62" s="4" t="s">
        <v>33</v>
      </c>
      <c r="C62" s="4" t="s">
        <v>20</v>
      </c>
      <c r="D62" s="4" t="s">
        <v>14</v>
      </c>
      <c r="E62" s="4">
        <v>1383.3</v>
      </c>
      <c r="F62" s="4">
        <v>8</v>
      </c>
      <c r="G62" s="4">
        <v>0.1</v>
      </c>
      <c r="H62" s="5">
        <v>45478</v>
      </c>
      <c r="I62">
        <f t="shared" si="0"/>
        <v>11055.3336</v>
      </c>
      <c r="J62">
        <f t="shared" si="1"/>
        <v>10557.3436</v>
      </c>
      <c r="K62" s="4">
        <v>497.99</v>
      </c>
      <c r="L62" t="str">
        <f t="shared" si="2"/>
        <v>Jul-2024</v>
      </c>
      <c r="M62" s="35">
        <f t="shared" ca="1" si="3"/>
        <v>46134.720372222226</v>
      </c>
      <c r="AC62" s="25">
        <v>1923.66</v>
      </c>
    </row>
    <row r="63" spans="1:29" ht="15.75" customHeight="1" x14ac:dyDescent="0.3">
      <c r="A63" s="4" t="s">
        <v>37</v>
      </c>
      <c r="B63" s="4" t="s">
        <v>57</v>
      </c>
      <c r="C63" s="4" t="s">
        <v>36</v>
      </c>
      <c r="D63" s="4" t="s">
        <v>41</v>
      </c>
      <c r="E63" s="4">
        <v>488.99</v>
      </c>
      <c r="F63" s="4">
        <v>9</v>
      </c>
      <c r="G63" s="4">
        <v>0</v>
      </c>
      <c r="H63" s="5">
        <v>45479</v>
      </c>
      <c r="I63">
        <f t="shared" si="0"/>
        <v>4400.91</v>
      </c>
      <c r="J63">
        <f t="shared" si="1"/>
        <v>4180.8599999999997</v>
      </c>
      <c r="K63" s="4">
        <v>220.05</v>
      </c>
      <c r="L63" t="str">
        <f t="shared" si="2"/>
        <v>Jul-2024</v>
      </c>
      <c r="M63" s="35">
        <f t="shared" ca="1" si="3"/>
        <v>46134.720372222226</v>
      </c>
      <c r="AC63" s="25">
        <v>1681.21</v>
      </c>
    </row>
    <row r="64" spans="1:29" ht="15.75" customHeight="1" x14ac:dyDescent="0.3">
      <c r="A64" s="4" t="s">
        <v>32</v>
      </c>
      <c r="B64" s="4" t="s">
        <v>33</v>
      </c>
      <c r="C64" s="4" t="s">
        <v>20</v>
      </c>
      <c r="D64" s="4" t="s">
        <v>29</v>
      </c>
      <c r="E64" s="4">
        <v>933.71</v>
      </c>
      <c r="F64" s="4">
        <v>17</v>
      </c>
      <c r="G64" s="4">
        <v>0.1</v>
      </c>
      <c r="H64" s="5">
        <v>45481</v>
      </c>
      <c r="I64">
        <f t="shared" si="0"/>
        <v>15857.19693</v>
      </c>
      <c r="J64">
        <f t="shared" si="1"/>
        <v>15563.076929999999</v>
      </c>
      <c r="K64" s="4">
        <v>294.12</v>
      </c>
      <c r="L64" t="str">
        <f t="shared" si="2"/>
        <v>Jul-2024</v>
      </c>
      <c r="M64" s="35">
        <f t="shared" ca="1" si="3"/>
        <v>46134.720372222226</v>
      </c>
      <c r="T64" s="4"/>
      <c r="AC64" s="25">
        <v>1622.62</v>
      </c>
    </row>
    <row r="65" spans="1:29" ht="15.75" customHeight="1" x14ac:dyDescent="0.3">
      <c r="A65" s="4" t="s">
        <v>69</v>
      </c>
      <c r="B65" s="4" t="s">
        <v>12</v>
      </c>
      <c r="C65" s="4" t="s">
        <v>13</v>
      </c>
      <c r="D65" s="4" t="s">
        <v>23</v>
      </c>
      <c r="E65" s="4">
        <v>1005.53</v>
      </c>
      <c r="F65" s="4">
        <v>17</v>
      </c>
      <c r="G65" s="4">
        <v>0.2</v>
      </c>
      <c r="H65" s="5">
        <v>45481</v>
      </c>
      <c r="I65">
        <f t="shared" si="0"/>
        <v>17059.821979999997</v>
      </c>
      <c r="J65">
        <f t="shared" si="1"/>
        <v>16858.711979999996</v>
      </c>
      <c r="K65" s="4">
        <v>201.11</v>
      </c>
      <c r="L65" t="str">
        <f t="shared" si="2"/>
        <v>Jul-2024</v>
      </c>
      <c r="M65" s="35">
        <f t="shared" ca="1" si="3"/>
        <v>46134.720372222226</v>
      </c>
      <c r="AC65" s="25">
        <v>1618.22</v>
      </c>
    </row>
    <row r="66" spans="1:29" ht="15.75" customHeight="1" x14ac:dyDescent="0.3">
      <c r="A66" s="4" t="s">
        <v>43</v>
      </c>
      <c r="B66" s="4" t="s">
        <v>63</v>
      </c>
      <c r="C66" s="4" t="s">
        <v>22</v>
      </c>
      <c r="D66" s="4" t="s">
        <v>23</v>
      </c>
      <c r="E66" s="4">
        <v>1100.0999999999999</v>
      </c>
      <c r="F66" s="4">
        <v>5</v>
      </c>
      <c r="G66" s="4">
        <v>0.05</v>
      </c>
      <c r="H66" s="5">
        <v>45482</v>
      </c>
      <c r="I66">
        <f t="shared" si="0"/>
        <v>5497.7497499999999</v>
      </c>
      <c r="J66">
        <f t="shared" si="1"/>
        <v>5236.4797500000004</v>
      </c>
      <c r="K66" s="4">
        <v>261.27</v>
      </c>
      <c r="L66" t="str">
        <f t="shared" si="2"/>
        <v>Jul-2024</v>
      </c>
      <c r="M66" s="35">
        <f t="shared" ca="1" si="3"/>
        <v>46134.720372222226</v>
      </c>
      <c r="AC66" s="25">
        <v>1589.42</v>
      </c>
    </row>
    <row r="67" spans="1:29" ht="15.75" customHeight="1" x14ac:dyDescent="0.3">
      <c r="A67" s="4" t="s">
        <v>69</v>
      </c>
      <c r="B67" s="4" t="s">
        <v>25</v>
      </c>
      <c r="C67" s="4" t="s">
        <v>26</v>
      </c>
      <c r="D67" s="4" t="s">
        <v>29</v>
      </c>
      <c r="E67" s="4">
        <v>1034.7</v>
      </c>
      <c r="F67" s="4">
        <v>15</v>
      </c>
      <c r="G67" s="4">
        <v>0.15</v>
      </c>
      <c r="H67" s="5">
        <v>45487</v>
      </c>
      <c r="I67">
        <f t="shared" ref="I67:I130" si="4">E67*F67-(E67*F67*G67%)</f>
        <v>15497.21925</v>
      </c>
      <c r="J67">
        <f t="shared" ref="J67:J130" si="5">I67-K67</f>
        <v>15189.39925</v>
      </c>
      <c r="K67" s="4">
        <v>307.82</v>
      </c>
      <c r="L67" t="str">
        <f t="shared" ref="L67:L130" si="6">TEXT(H67,"mmm-yyyy")</f>
        <v>Jul-2024</v>
      </c>
      <c r="M67" s="35">
        <f t="shared" ref="M67:M130" ca="1" si="7">NOW()</f>
        <v>46134.720372222226</v>
      </c>
      <c r="AC67" s="25">
        <v>1572.82</v>
      </c>
    </row>
    <row r="68" spans="1:29" ht="15.75" customHeight="1" x14ac:dyDescent="0.3">
      <c r="A68" s="4" t="s">
        <v>67</v>
      </c>
      <c r="B68" s="4" t="s">
        <v>33</v>
      </c>
      <c r="C68" s="4" t="s">
        <v>22</v>
      </c>
      <c r="D68" s="4" t="s">
        <v>14</v>
      </c>
      <c r="E68" s="4">
        <v>876.44</v>
      </c>
      <c r="F68" s="4">
        <v>12</v>
      </c>
      <c r="G68" s="4">
        <v>0.05</v>
      </c>
      <c r="H68" s="5">
        <v>45488</v>
      </c>
      <c r="I68">
        <f t="shared" si="4"/>
        <v>10512.021360000001</v>
      </c>
      <c r="J68">
        <f t="shared" si="5"/>
        <v>10178.971360000001</v>
      </c>
      <c r="K68" s="4">
        <v>333.05</v>
      </c>
      <c r="L68" t="str">
        <f t="shared" si="6"/>
        <v>Jul-2024</v>
      </c>
      <c r="M68" s="35">
        <f t="shared" ca="1" si="7"/>
        <v>46134.720372222226</v>
      </c>
      <c r="AC68" s="25">
        <v>1526.6</v>
      </c>
    </row>
    <row r="69" spans="1:29" ht="15.75" customHeight="1" x14ac:dyDescent="0.3">
      <c r="A69" s="4" t="s">
        <v>70</v>
      </c>
      <c r="B69" s="4" t="s">
        <v>57</v>
      </c>
      <c r="C69" s="4" t="s">
        <v>13</v>
      </c>
      <c r="D69" s="4" t="s">
        <v>29</v>
      </c>
      <c r="E69" s="4">
        <v>1371.34</v>
      </c>
      <c r="F69" s="4">
        <v>5</v>
      </c>
      <c r="G69" s="4">
        <v>0.05</v>
      </c>
      <c r="H69" s="5">
        <v>45488</v>
      </c>
      <c r="I69">
        <f t="shared" si="4"/>
        <v>6853.2716499999997</v>
      </c>
      <c r="J69">
        <f t="shared" si="5"/>
        <v>6397.3016499999994</v>
      </c>
      <c r="K69" s="4">
        <v>455.97</v>
      </c>
      <c r="L69" t="str">
        <f t="shared" si="6"/>
        <v>Jul-2024</v>
      </c>
      <c r="M69" s="35">
        <f t="shared" ca="1" si="7"/>
        <v>46134.720372222226</v>
      </c>
      <c r="AC69" s="25">
        <v>1506.14</v>
      </c>
    </row>
    <row r="70" spans="1:29" ht="15.75" customHeight="1" x14ac:dyDescent="0.3">
      <c r="A70" s="4" t="s">
        <v>59</v>
      </c>
      <c r="B70" s="4" t="s">
        <v>49</v>
      </c>
      <c r="C70" s="4" t="s">
        <v>26</v>
      </c>
      <c r="D70" s="4" t="s">
        <v>23</v>
      </c>
      <c r="E70" s="4">
        <v>1020.26</v>
      </c>
      <c r="F70" s="4">
        <v>11</v>
      </c>
      <c r="G70" s="4">
        <v>0.05</v>
      </c>
      <c r="H70" s="5">
        <v>45494</v>
      </c>
      <c r="I70">
        <f t="shared" si="4"/>
        <v>11217.24857</v>
      </c>
      <c r="J70">
        <f t="shared" si="5"/>
        <v>10974.93857</v>
      </c>
      <c r="K70" s="4">
        <v>242.31</v>
      </c>
      <c r="L70" t="str">
        <f t="shared" si="6"/>
        <v>Jul-2024</v>
      </c>
      <c r="M70" s="35">
        <f t="shared" ca="1" si="7"/>
        <v>46134.720372222226</v>
      </c>
      <c r="AC70" s="26">
        <v>1502.93</v>
      </c>
    </row>
    <row r="71" spans="1:29" ht="15.75" customHeight="1" x14ac:dyDescent="0.3">
      <c r="A71" s="4" t="s">
        <v>46</v>
      </c>
      <c r="B71" s="4" t="s">
        <v>12</v>
      </c>
      <c r="C71" s="4" t="s">
        <v>36</v>
      </c>
      <c r="D71" s="4" t="s">
        <v>41</v>
      </c>
      <c r="E71" s="4">
        <v>804.81</v>
      </c>
      <c r="F71" s="4">
        <v>1</v>
      </c>
      <c r="G71" s="4">
        <v>0.05</v>
      </c>
      <c r="H71" s="5">
        <v>45502</v>
      </c>
      <c r="I71">
        <f t="shared" si="4"/>
        <v>804.4075949999999</v>
      </c>
      <c r="J71">
        <f t="shared" si="5"/>
        <v>460.3475949999999</v>
      </c>
      <c r="K71" s="4">
        <v>344.06</v>
      </c>
      <c r="L71" t="str">
        <f t="shared" si="6"/>
        <v>Jul-2024</v>
      </c>
      <c r="M71" s="35">
        <f t="shared" ca="1" si="7"/>
        <v>46134.720372222226</v>
      </c>
      <c r="AC71" s="26">
        <v>1493.49</v>
      </c>
    </row>
    <row r="72" spans="1:29" ht="15.75" customHeight="1" x14ac:dyDescent="0.3">
      <c r="A72" s="4" t="s">
        <v>24</v>
      </c>
      <c r="B72" s="4" t="s">
        <v>57</v>
      </c>
      <c r="C72" s="4" t="s">
        <v>36</v>
      </c>
      <c r="D72" s="4" t="s">
        <v>23</v>
      </c>
      <c r="E72" s="4">
        <v>608.66</v>
      </c>
      <c r="F72" s="4">
        <v>1</v>
      </c>
      <c r="G72" s="4">
        <v>0.05</v>
      </c>
      <c r="H72" s="5">
        <v>45503</v>
      </c>
      <c r="I72">
        <f t="shared" si="4"/>
        <v>608.35566999999992</v>
      </c>
      <c r="J72">
        <f t="shared" si="5"/>
        <v>463.79566999999992</v>
      </c>
      <c r="K72" s="4">
        <v>144.56</v>
      </c>
      <c r="L72" t="str">
        <f t="shared" si="6"/>
        <v>Jul-2024</v>
      </c>
      <c r="M72" s="35">
        <f t="shared" ca="1" si="7"/>
        <v>46134.720372222226</v>
      </c>
      <c r="AC72" s="4"/>
    </row>
    <row r="73" spans="1:29" ht="15.75" customHeight="1" thickBot="1" x14ac:dyDescent="0.35">
      <c r="A73" s="4" t="s">
        <v>70</v>
      </c>
      <c r="B73" s="4" t="s">
        <v>71</v>
      </c>
      <c r="C73" s="4" t="s">
        <v>22</v>
      </c>
      <c r="D73" s="4" t="s">
        <v>41</v>
      </c>
      <c r="E73" s="4">
        <v>981.2</v>
      </c>
      <c r="F73" s="4">
        <v>19</v>
      </c>
      <c r="G73" s="4">
        <v>0</v>
      </c>
      <c r="H73" s="5">
        <v>45504</v>
      </c>
      <c r="I73">
        <f t="shared" si="4"/>
        <v>18642.8</v>
      </c>
      <c r="J73">
        <f t="shared" si="5"/>
        <v>18201.259999999998</v>
      </c>
      <c r="K73" s="4">
        <v>441.54</v>
      </c>
      <c r="L73" t="str">
        <f t="shared" si="6"/>
        <v>Jul-2024</v>
      </c>
      <c r="M73" s="35">
        <f t="shared" ca="1" si="7"/>
        <v>46134.720372222226</v>
      </c>
      <c r="T73" s="12"/>
      <c r="U73" s="12"/>
      <c r="V73" s="12"/>
      <c r="W73" s="12"/>
      <c r="X73" s="12"/>
      <c r="Y73" s="12"/>
      <c r="Z73" s="12"/>
      <c r="AA73" s="12"/>
      <c r="AB73" s="12"/>
      <c r="AC73" s="38"/>
    </row>
    <row r="74" spans="1:29" ht="15.75" customHeight="1" x14ac:dyDescent="0.3">
      <c r="A74" s="4" t="s">
        <v>72</v>
      </c>
      <c r="B74" s="4" t="s">
        <v>57</v>
      </c>
      <c r="C74" s="4" t="s">
        <v>20</v>
      </c>
      <c r="D74" s="4" t="s">
        <v>23</v>
      </c>
      <c r="E74" s="4">
        <v>539.77</v>
      </c>
      <c r="F74" s="4">
        <v>10</v>
      </c>
      <c r="G74" s="4">
        <v>0.15</v>
      </c>
      <c r="H74" s="5">
        <v>45509</v>
      </c>
      <c r="I74">
        <f t="shared" si="4"/>
        <v>5389.6034499999996</v>
      </c>
      <c r="J74">
        <f t="shared" si="5"/>
        <v>5274.9034499999998</v>
      </c>
      <c r="K74" s="4">
        <v>114.7</v>
      </c>
      <c r="L74" t="str">
        <f t="shared" si="6"/>
        <v>Aug-2024</v>
      </c>
      <c r="M74" s="35">
        <f t="shared" ca="1" si="7"/>
        <v>46134.720372222226</v>
      </c>
      <c r="T74" s="20" t="s">
        <v>79</v>
      </c>
      <c r="U74" s="20"/>
      <c r="V74" s="20"/>
      <c r="W74" s="20"/>
      <c r="X74" s="20"/>
      <c r="Y74" s="20"/>
      <c r="Z74" s="20"/>
      <c r="AA74" s="20"/>
      <c r="AB74" s="7" t="s">
        <v>82</v>
      </c>
      <c r="AC74" s="9">
        <v>1036.0899999999999</v>
      </c>
    </row>
    <row r="75" spans="1:29" ht="15.75" customHeight="1" x14ac:dyDescent="0.3">
      <c r="A75" s="4" t="s">
        <v>15</v>
      </c>
      <c r="B75" s="4" t="s">
        <v>73</v>
      </c>
      <c r="C75" s="4" t="s">
        <v>22</v>
      </c>
      <c r="D75" s="4" t="s">
        <v>14</v>
      </c>
      <c r="E75" s="4">
        <v>804.45</v>
      </c>
      <c r="F75" s="4">
        <v>5</v>
      </c>
      <c r="G75" s="4">
        <v>0.2</v>
      </c>
      <c r="H75" s="5">
        <v>45509</v>
      </c>
      <c r="I75">
        <f t="shared" si="4"/>
        <v>4014.2055</v>
      </c>
      <c r="J75">
        <f t="shared" si="5"/>
        <v>3756.7855</v>
      </c>
      <c r="K75" s="4">
        <v>257.42</v>
      </c>
      <c r="L75" t="str">
        <f t="shared" si="6"/>
        <v>Aug-2024</v>
      </c>
      <c r="M75" s="35">
        <f t="shared" ca="1" si="7"/>
        <v>46134.720372222226</v>
      </c>
      <c r="Y75" s="17" t="s">
        <v>88</v>
      </c>
      <c r="Z75" s="17"/>
      <c r="AA75" s="4"/>
      <c r="AB75" s="7" t="s">
        <v>83</v>
      </c>
      <c r="AC75" s="10">
        <v>0.1</v>
      </c>
    </row>
    <row r="76" spans="1:29" ht="15.75" customHeight="1" x14ac:dyDescent="0.3">
      <c r="A76" s="4" t="s">
        <v>72</v>
      </c>
      <c r="B76" s="4" t="s">
        <v>40</v>
      </c>
      <c r="C76" s="4" t="s">
        <v>13</v>
      </c>
      <c r="D76" s="4" t="s">
        <v>23</v>
      </c>
      <c r="E76" s="4">
        <v>1526.6</v>
      </c>
      <c r="F76" s="4">
        <v>13</v>
      </c>
      <c r="G76" s="4">
        <v>0.2</v>
      </c>
      <c r="H76" s="5">
        <v>45512</v>
      </c>
      <c r="I76">
        <f t="shared" si="4"/>
        <v>19806.108400000001</v>
      </c>
      <c r="J76">
        <f t="shared" si="5"/>
        <v>19500.788400000001</v>
      </c>
      <c r="K76" s="4">
        <v>305.32</v>
      </c>
      <c r="L76" t="str">
        <f t="shared" si="6"/>
        <v>Aug-2024</v>
      </c>
      <c r="M76" s="35">
        <f t="shared" ca="1" si="7"/>
        <v>46134.720372222226</v>
      </c>
      <c r="AA76" s="16" t="s">
        <v>84</v>
      </c>
      <c r="AB76" s="16"/>
      <c r="AC76" s="10">
        <f>AC74*AC79-(AC74*AC79*AC75%)</f>
        <v>4140.2156399999994</v>
      </c>
    </row>
    <row r="77" spans="1:29" ht="15.75" customHeight="1" x14ac:dyDescent="0.3">
      <c r="A77" s="4" t="s">
        <v>15</v>
      </c>
      <c r="B77" s="4" t="s">
        <v>31</v>
      </c>
      <c r="C77" s="4" t="s">
        <v>13</v>
      </c>
      <c r="D77" s="4" t="s">
        <v>23</v>
      </c>
      <c r="E77" s="4">
        <v>1215.26</v>
      </c>
      <c r="F77" s="4">
        <v>5</v>
      </c>
      <c r="G77" s="4">
        <v>0.15</v>
      </c>
      <c r="H77" s="5">
        <v>45513</v>
      </c>
      <c r="I77">
        <f t="shared" si="4"/>
        <v>6067.1855500000001</v>
      </c>
      <c r="J77">
        <f t="shared" si="5"/>
        <v>5808.9455500000004</v>
      </c>
      <c r="K77" s="4">
        <v>258.24</v>
      </c>
      <c r="L77" t="str">
        <f t="shared" si="6"/>
        <v>Aug-2024</v>
      </c>
      <c r="M77" s="35">
        <f t="shared" ca="1" si="7"/>
        <v>46134.720372222226</v>
      </c>
      <c r="AA77" s="4"/>
      <c r="AB77" s="7" t="s">
        <v>85</v>
      </c>
      <c r="AC77" s="10">
        <f>AC76-AC78</f>
        <v>3808.6656399999993</v>
      </c>
    </row>
    <row r="78" spans="1:29" ht="15.75" customHeight="1" x14ac:dyDescent="0.3">
      <c r="A78" s="4" t="s">
        <v>21</v>
      </c>
      <c r="B78" s="4" t="s">
        <v>55</v>
      </c>
      <c r="C78" s="4" t="s">
        <v>36</v>
      </c>
      <c r="D78" s="4" t="s">
        <v>29</v>
      </c>
      <c r="E78" s="4">
        <v>1261.3399999999999</v>
      </c>
      <c r="F78" s="4">
        <v>3</v>
      </c>
      <c r="G78" s="4">
        <v>0</v>
      </c>
      <c r="H78" s="5">
        <v>45519</v>
      </c>
      <c r="I78">
        <f t="shared" si="4"/>
        <v>3784.0199999999995</v>
      </c>
      <c r="J78">
        <f t="shared" si="5"/>
        <v>3342.5499999999993</v>
      </c>
      <c r="K78" s="4">
        <v>441.47</v>
      </c>
      <c r="L78" t="str">
        <f t="shared" si="6"/>
        <v>Aug-2024</v>
      </c>
      <c r="M78" s="35">
        <f t="shared" ca="1" si="7"/>
        <v>46134.720372222226</v>
      </c>
      <c r="AA78" s="4"/>
      <c r="AB78" s="7" t="s">
        <v>86</v>
      </c>
      <c r="AC78" s="10">
        <v>331.55</v>
      </c>
    </row>
    <row r="79" spans="1:29" ht="15.75" customHeight="1" x14ac:dyDescent="0.3">
      <c r="A79" s="4" t="s">
        <v>74</v>
      </c>
      <c r="B79" s="4" t="s">
        <v>47</v>
      </c>
      <c r="C79" s="4" t="s">
        <v>26</v>
      </c>
      <c r="D79" s="4" t="s">
        <v>29</v>
      </c>
      <c r="E79" s="4">
        <v>518.07000000000005</v>
      </c>
      <c r="F79" s="4">
        <v>7</v>
      </c>
      <c r="G79" s="4">
        <v>0.05</v>
      </c>
      <c r="H79" s="5">
        <v>45522</v>
      </c>
      <c r="I79">
        <f t="shared" si="4"/>
        <v>3624.6767550000004</v>
      </c>
      <c r="J79">
        <f t="shared" si="5"/>
        <v>3452.4167550000002</v>
      </c>
      <c r="K79" s="4">
        <v>172.26</v>
      </c>
      <c r="L79" t="str">
        <f t="shared" si="6"/>
        <v>Aug-2024</v>
      </c>
      <c r="M79" s="35">
        <f t="shared" ca="1" si="7"/>
        <v>46134.720372222226</v>
      </c>
      <c r="AA79" s="4"/>
      <c r="AB79" s="7" t="s">
        <v>87</v>
      </c>
      <c r="AC79" s="10">
        <v>4</v>
      </c>
    </row>
    <row r="80" spans="1:29" ht="15.75" customHeight="1" x14ac:dyDescent="0.3">
      <c r="A80" s="4" t="s">
        <v>32</v>
      </c>
      <c r="B80" s="4" t="s">
        <v>31</v>
      </c>
      <c r="C80" s="4" t="s">
        <v>13</v>
      </c>
      <c r="D80" s="4" t="s">
        <v>41</v>
      </c>
      <c r="E80" s="4">
        <v>1111.3399999999999</v>
      </c>
      <c r="F80" s="4">
        <v>1</v>
      </c>
      <c r="G80" s="4">
        <v>0</v>
      </c>
      <c r="H80" s="5">
        <v>45523</v>
      </c>
      <c r="I80">
        <f t="shared" si="4"/>
        <v>1111.3399999999999</v>
      </c>
      <c r="J80">
        <f t="shared" si="5"/>
        <v>611.2399999999999</v>
      </c>
      <c r="K80" s="4">
        <v>500.1</v>
      </c>
      <c r="L80" t="str">
        <f t="shared" si="6"/>
        <v>Aug-2024</v>
      </c>
      <c r="M80" s="35">
        <f t="shared" ca="1" si="7"/>
        <v>46134.720372222226</v>
      </c>
      <c r="AA80" s="4"/>
    </row>
    <row r="81" spans="1:29" ht="15.75" customHeight="1" thickBot="1" x14ac:dyDescent="0.35">
      <c r="A81" s="4" t="s">
        <v>24</v>
      </c>
      <c r="B81" s="4" t="s">
        <v>33</v>
      </c>
      <c r="C81" s="4" t="s">
        <v>20</v>
      </c>
      <c r="D81" s="4" t="s">
        <v>17</v>
      </c>
      <c r="E81" s="4">
        <v>1291.47</v>
      </c>
      <c r="F81" s="4">
        <v>18</v>
      </c>
      <c r="G81" s="4">
        <v>0.1</v>
      </c>
      <c r="H81" s="5">
        <v>45526</v>
      </c>
      <c r="I81">
        <f t="shared" si="4"/>
        <v>23223.213540000001</v>
      </c>
      <c r="J81">
        <f t="shared" si="5"/>
        <v>22642.053540000001</v>
      </c>
      <c r="K81" s="4">
        <v>581.16</v>
      </c>
      <c r="L81" t="str">
        <f t="shared" si="6"/>
        <v>Aug-2024</v>
      </c>
      <c r="M81" s="35">
        <f t="shared" ca="1" si="7"/>
        <v>46134.720372222226</v>
      </c>
      <c r="T81" s="12"/>
      <c r="U81" s="12"/>
      <c r="V81" s="12"/>
      <c r="W81" s="12"/>
      <c r="X81" s="12"/>
      <c r="Y81" s="12"/>
      <c r="Z81" s="12"/>
      <c r="AA81" s="38"/>
      <c r="AB81" s="12"/>
      <c r="AC81" s="12"/>
    </row>
    <row r="82" spans="1:29" ht="15.75" customHeight="1" x14ac:dyDescent="0.3">
      <c r="A82" s="4" t="s">
        <v>27</v>
      </c>
      <c r="B82" s="4" t="s">
        <v>57</v>
      </c>
      <c r="C82" s="4" t="s">
        <v>26</v>
      </c>
      <c r="D82" s="4" t="s">
        <v>14</v>
      </c>
      <c r="E82" s="4">
        <v>679.71</v>
      </c>
      <c r="F82" s="4">
        <v>19</v>
      </c>
      <c r="G82" s="4">
        <v>0</v>
      </c>
      <c r="H82" s="5">
        <v>45534</v>
      </c>
      <c r="I82">
        <f t="shared" si="4"/>
        <v>12914.490000000002</v>
      </c>
      <c r="J82">
        <f t="shared" si="5"/>
        <v>12642.610000000002</v>
      </c>
      <c r="K82" s="4">
        <v>271.88</v>
      </c>
      <c r="L82" t="str">
        <f t="shared" si="6"/>
        <v>Aug-2024</v>
      </c>
      <c r="M82" s="35">
        <f t="shared" ca="1" si="7"/>
        <v>46134.720372222226</v>
      </c>
      <c r="T82" s="15" t="s">
        <v>89</v>
      </c>
      <c r="U82" s="15"/>
      <c r="V82" s="15"/>
      <c r="W82" s="15"/>
      <c r="X82" s="15"/>
      <c r="Y82" s="15"/>
      <c r="Z82" s="15"/>
      <c r="AA82" s="15"/>
      <c r="AB82" s="18" t="str">
        <f>HYPERLINK("#regression!A1","CLICK HERE")</f>
        <v>CLICK HERE</v>
      </c>
      <c r="AC82" s="18"/>
    </row>
    <row r="83" spans="1:29" ht="15.75" customHeight="1" thickBot="1" x14ac:dyDescent="0.35">
      <c r="A83" s="4" t="s">
        <v>70</v>
      </c>
      <c r="B83" s="4" t="s">
        <v>35</v>
      </c>
      <c r="C83" s="4" t="s">
        <v>20</v>
      </c>
      <c r="D83" s="4" t="s">
        <v>29</v>
      </c>
      <c r="E83" s="4">
        <v>1143.69</v>
      </c>
      <c r="F83" s="4">
        <v>17</v>
      </c>
      <c r="G83" s="4">
        <v>0</v>
      </c>
      <c r="H83" s="5">
        <v>45534</v>
      </c>
      <c r="I83">
        <f t="shared" si="4"/>
        <v>19442.73</v>
      </c>
      <c r="J83">
        <f t="shared" si="5"/>
        <v>19042.439999999999</v>
      </c>
      <c r="K83" s="4">
        <v>400.29</v>
      </c>
      <c r="L83" t="str">
        <f t="shared" si="6"/>
        <v>Aug-2024</v>
      </c>
      <c r="M83" s="35">
        <f t="shared" ca="1" si="7"/>
        <v>46134.720372222226</v>
      </c>
      <c r="T83" s="12"/>
      <c r="U83" s="12"/>
      <c r="V83" s="12"/>
      <c r="W83" s="12"/>
      <c r="X83" s="12"/>
      <c r="Y83" s="12"/>
      <c r="Z83" s="12"/>
      <c r="AA83" s="38"/>
      <c r="AB83" s="12"/>
      <c r="AC83" s="12"/>
    </row>
    <row r="84" spans="1:29" ht="15.75" customHeight="1" x14ac:dyDescent="0.3">
      <c r="A84" s="4" t="s">
        <v>54</v>
      </c>
      <c r="B84" s="4" t="s">
        <v>52</v>
      </c>
      <c r="C84" s="4" t="s">
        <v>36</v>
      </c>
      <c r="D84" s="4" t="s">
        <v>23</v>
      </c>
      <c r="E84" s="4">
        <v>790.08</v>
      </c>
      <c r="F84" s="4">
        <v>7</v>
      </c>
      <c r="G84" s="4">
        <v>0.1</v>
      </c>
      <c r="H84" s="5">
        <v>45536</v>
      </c>
      <c r="I84">
        <f t="shared" si="4"/>
        <v>5525.0294400000002</v>
      </c>
      <c r="J84">
        <f t="shared" si="5"/>
        <v>5347.2594399999998</v>
      </c>
      <c r="K84" s="4">
        <v>177.77</v>
      </c>
      <c r="L84" t="str">
        <f t="shared" si="6"/>
        <v>Sep-2024</v>
      </c>
      <c r="M84" s="35">
        <f t="shared" ca="1" si="7"/>
        <v>46134.720372222226</v>
      </c>
      <c r="T84" s="15" t="s">
        <v>115</v>
      </c>
      <c r="U84" s="15"/>
      <c r="V84" s="15"/>
      <c r="W84" s="15"/>
      <c r="X84" s="15"/>
      <c r="Y84" s="15"/>
      <c r="Z84" s="15"/>
      <c r="AA84" s="15"/>
      <c r="AB84" s="18" t="str">
        <f>HYPERLINK("#Statistics!U24A1","CLICK HERE")</f>
        <v>CLICK HERE</v>
      </c>
      <c r="AC84" s="18"/>
    </row>
    <row r="85" spans="1:29" ht="15.75" customHeight="1" thickBot="1" x14ac:dyDescent="0.35">
      <c r="A85" s="4" t="s">
        <v>21</v>
      </c>
      <c r="B85" s="4" t="s">
        <v>50</v>
      </c>
      <c r="C85" s="4" t="s">
        <v>36</v>
      </c>
      <c r="D85" s="4" t="s">
        <v>14</v>
      </c>
      <c r="E85" s="4">
        <v>1070.68</v>
      </c>
      <c r="F85" s="4">
        <v>7</v>
      </c>
      <c r="G85" s="4">
        <v>0.05</v>
      </c>
      <c r="H85" s="5">
        <v>45536</v>
      </c>
      <c r="I85">
        <f t="shared" si="4"/>
        <v>7491.0126200000004</v>
      </c>
      <c r="J85">
        <f t="shared" si="5"/>
        <v>7084.1526200000008</v>
      </c>
      <c r="K85" s="4">
        <v>406.86</v>
      </c>
      <c r="L85" t="str">
        <f t="shared" si="6"/>
        <v>Sep-2024</v>
      </c>
      <c r="M85" s="35">
        <f t="shared" ca="1" si="7"/>
        <v>46134.720372222226</v>
      </c>
      <c r="T85" s="12"/>
      <c r="U85" s="12"/>
      <c r="V85" s="12"/>
      <c r="W85" s="12"/>
      <c r="X85" s="12"/>
      <c r="Y85" s="12"/>
      <c r="Z85" s="12"/>
      <c r="AA85" s="38"/>
      <c r="AB85" s="12"/>
      <c r="AC85" s="12"/>
    </row>
    <row r="86" spans="1:29" ht="15.75" customHeight="1" x14ac:dyDescent="0.3">
      <c r="A86" s="4" t="s">
        <v>60</v>
      </c>
      <c r="B86" s="4" t="s">
        <v>38</v>
      </c>
      <c r="C86" s="4" t="s">
        <v>13</v>
      </c>
      <c r="D86" s="4" t="s">
        <v>17</v>
      </c>
      <c r="E86" s="4">
        <v>1168.8900000000001</v>
      </c>
      <c r="F86" s="4">
        <v>4</v>
      </c>
      <c r="G86" s="4">
        <v>0.1</v>
      </c>
      <c r="H86" s="5">
        <v>45544</v>
      </c>
      <c r="I86">
        <f t="shared" si="4"/>
        <v>4670.8844400000007</v>
      </c>
      <c r="J86">
        <f t="shared" si="5"/>
        <v>4144.8844400000007</v>
      </c>
      <c r="K86" s="4">
        <v>526</v>
      </c>
      <c r="L86" t="str">
        <f t="shared" si="6"/>
        <v>Sep-2024</v>
      </c>
      <c r="M86" s="35">
        <f t="shared" ca="1" si="7"/>
        <v>46134.720372222226</v>
      </c>
      <c r="T86" s="15" t="s">
        <v>129</v>
      </c>
      <c r="U86" s="15"/>
      <c r="V86" s="15"/>
      <c r="W86" s="15"/>
      <c r="X86" s="15"/>
      <c r="Y86" s="15"/>
      <c r="Z86" s="15"/>
      <c r="AA86" s="15"/>
      <c r="AB86" s="18" t="str">
        <f>HYPERLINK("#growth!A1","CLICK HERE")</f>
        <v>CLICK HERE</v>
      </c>
      <c r="AC86" s="21"/>
    </row>
    <row r="87" spans="1:29" ht="15.75" customHeight="1" thickBot="1" x14ac:dyDescent="0.35">
      <c r="A87" s="4" t="s">
        <v>69</v>
      </c>
      <c r="B87" s="4" t="s">
        <v>12</v>
      </c>
      <c r="C87" s="4" t="s">
        <v>22</v>
      </c>
      <c r="D87" s="4" t="s">
        <v>23</v>
      </c>
      <c r="E87" s="4">
        <v>1335.87</v>
      </c>
      <c r="F87" s="4">
        <v>17</v>
      </c>
      <c r="G87" s="4">
        <v>0</v>
      </c>
      <c r="H87" s="5">
        <v>45544</v>
      </c>
      <c r="I87">
        <f t="shared" si="4"/>
        <v>22709.789999999997</v>
      </c>
      <c r="J87">
        <f t="shared" si="5"/>
        <v>22375.819999999996</v>
      </c>
      <c r="K87" s="4">
        <v>333.97</v>
      </c>
      <c r="L87" t="str">
        <f t="shared" si="6"/>
        <v>Sep-2024</v>
      </c>
      <c r="M87" s="35">
        <f t="shared" ca="1" si="7"/>
        <v>46134.720372222226</v>
      </c>
      <c r="T87" s="12"/>
      <c r="U87" s="12"/>
      <c r="V87" s="12"/>
      <c r="W87" s="12"/>
      <c r="X87" s="12"/>
      <c r="Y87" s="12"/>
      <c r="Z87" s="12"/>
      <c r="AA87" s="38"/>
      <c r="AB87" s="12"/>
      <c r="AC87" s="12"/>
    </row>
    <row r="88" spans="1:29" ht="15.75" customHeight="1" x14ac:dyDescent="0.3">
      <c r="A88" s="4" t="s">
        <v>42</v>
      </c>
      <c r="B88" s="4" t="s">
        <v>57</v>
      </c>
      <c r="C88" s="4" t="s">
        <v>20</v>
      </c>
      <c r="D88" s="4" t="s">
        <v>29</v>
      </c>
      <c r="E88" s="4">
        <v>873.7</v>
      </c>
      <c r="F88" s="4">
        <v>9</v>
      </c>
      <c r="G88" s="4">
        <v>0</v>
      </c>
      <c r="H88" s="5">
        <v>45546</v>
      </c>
      <c r="I88">
        <f t="shared" si="4"/>
        <v>7863.3</v>
      </c>
      <c r="J88">
        <f t="shared" si="5"/>
        <v>7557.5</v>
      </c>
      <c r="K88" s="4">
        <v>305.8</v>
      </c>
      <c r="L88" t="str">
        <f t="shared" si="6"/>
        <v>Sep-2024</v>
      </c>
      <c r="M88" s="35">
        <f t="shared" ca="1" si="7"/>
        <v>46134.720372222226</v>
      </c>
      <c r="T88" s="15" t="s">
        <v>149</v>
      </c>
      <c r="U88" s="15"/>
      <c r="V88" s="15"/>
      <c r="W88" s="15"/>
      <c r="X88" s="15"/>
      <c r="Y88" s="15"/>
      <c r="Z88" s="15"/>
      <c r="AA88" s="15"/>
      <c r="AB88" s="36" t="s">
        <v>151</v>
      </c>
      <c r="AC88" s="36"/>
    </row>
    <row r="89" spans="1:29" ht="15.75" customHeight="1" thickBot="1" x14ac:dyDescent="0.35">
      <c r="A89" s="4" t="s">
        <v>74</v>
      </c>
      <c r="B89" s="4" t="s">
        <v>66</v>
      </c>
      <c r="C89" s="4" t="s">
        <v>13</v>
      </c>
      <c r="D89" s="4" t="s">
        <v>41</v>
      </c>
      <c r="E89" s="4">
        <v>1443.98</v>
      </c>
      <c r="F89" s="4">
        <v>19</v>
      </c>
      <c r="G89" s="4">
        <v>0</v>
      </c>
      <c r="H89" s="5">
        <v>45547</v>
      </c>
      <c r="I89">
        <f t="shared" si="4"/>
        <v>27435.62</v>
      </c>
      <c r="J89">
        <f t="shared" si="5"/>
        <v>26785.829999999998</v>
      </c>
      <c r="K89" s="4">
        <v>649.79</v>
      </c>
      <c r="L89" t="str">
        <f t="shared" si="6"/>
        <v>Sep-2024</v>
      </c>
      <c r="M89" s="35">
        <f t="shared" ca="1" si="7"/>
        <v>46134.720372222226</v>
      </c>
      <c r="T89" s="38"/>
      <c r="U89" s="12"/>
      <c r="V89" s="12"/>
      <c r="W89" s="12"/>
      <c r="X89" s="12"/>
      <c r="Y89" s="12"/>
      <c r="Z89" s="12"/>
      <c r="AA89" s="12"/>
      <c r="AB89" s="12"/>
      <c r="AC89" s="12"/>
    </row>
    <row r="90" spans="1:29" ht="15.75" customHeight="1" x14ac:dyDescent="0.3">
      <c r="A90" s="4" t="s">
        <v>42</v>
      </c>
      <c r="B90" s="4" t="s">
        <v>25</v>
      </c>
      <c r="C90" s="4" t="s">
        <v>20</v>
      </c>
      <c r="D90" s="4" t="s">
        <v>41</v>
      </c>
      <c r="E90" s="4">
        <v>1154.33</v>
      </c>
      <c r="F90" s="4">
        <v>11</v>
      </c>
      <c r="G90" s="4">
        <v>0.15</v>
      </c>
      <c r="H90" s="5">
        <v>45549</v>
      </c>
      <c r="I90">
        <f t="shared" si="4"/>
        <v>12678.583554999999</v>
      </c>
      <c r="J90">
        <f t="shared" si="5"/>
        <v>12237.053554999999</v>
      </c>
      <c r="K90" s="4">
        <v>441.53</v>
      </c>
      <c r="L90" t="str">
        <f t="shared" si="6"/>
        <v>Sep-2024</v>
      </c>
      <c r="M90" s="35">
        <f t="shared" ca="1" si="7"/>
        <v>46134.720372222226</v>
      </c>
      <c r="T90" s="4"/>
      <c r="U90" s="15" t="s">
        <v>152</v>
      </c>
      <c r="V90" s="15"/>
      <c r="W90" s="15"/>
      <c r="X90" s="15"/>
      <c r="Y90" s="15"/>
      <c r="Z90" s="15"/>
      <c r="AA90" s="15"/>
      <c r="AB90" s="18" t="str">
        <f>HYPERLINK("#High_value_customer!A1","CLICK HERE")</f>
        <v>CLICK HERE</v>
      </c>
      <c r="AC90" s="18"/>
    </row>
    <row r="91" spans="1:29" ht="15.75" customHeight="1" thickBot="1" x14ac:dyDescent="0.35">
      <c r="A91" s="4" t="s">
        <v>51</v>
      </c>
      <c r="B91" s="4" t="s">
        <v>52</v>
      </c>
      <c r="C91" s="4" t="s">
        <v>22</v>
      </c>
      <c r="D91" s="4" t="s">
        <v>14</v>
      </c>
      <c r="E91" s="4">
        <v>1264.49</v>
      </c>
      <c r="F91" s="4">
        <v>16</v>
      </c>
      <c r="G91" s="4">
        <v>0.05</v>
      </c>
      <c r="H91" s="5">
        <v>45549</v>
      </c>
      <c r="I91">
        <f t="shared" si="4"/>
        <v>20221.72408</v>
      </c>
      <c r="J91">
        <f t="shared" si="5"/>
        <v>19741.214080000002</v>
      </c>
      <c r="K91" s="4">
        <v>480.51</v>
      </c>
      <c r="L91" t="str">
        <f t="shared" si="6"/>
        <v>Sep-2024</v>
      </c>
      <c r="M91" s="35">
        <f t="shared" ca="1" si="7"/>
        <v>46134.720372222226</v>
      </c>
      <c r="T91" s="38"/>
      <c r="U91" s="12"/>
      <c r="V91" s="12"/>
      <c r="W91" s="12"/>
      <c r="X91" s="12"/>
      <c r="Y91" s="12"/>
      <c r="Z91" s="12"/>
      <c r="AA91" s="12"/>
      <c r="AB91" s="12"/>
      <c r="AC91" s="12"/>
    </row>
    <row r="92" spans="1:29" ht="15.75" customHeight="1" x14ac:dyDescent="0.3">
      <c r="A92" s="4" t="s">
        <v>27</v>
      </c>
      <c r="B92" s="4" t="s">
        <v>68</v>
      </c>
      <c r="C92" s="4" t="s">
        <v>13</v>
      </c>
      <c r="D92" s="4" t="s">
        <v>29</v>
      </c>
      <c r="E92" s="4">
        <v>1101.55</v>
      </c>
      <c r="F92" s="4">
        <v>4</v>
      </c>
      <c r="G92" s="4">
        <v>0.1</v>
      </c>
      <c r="H92" s="5">
        <v>45551</v>
      </c>
      <c r="I92">
        <f t="shared" si="4"/>
        <v>4401.7937999999995</v>
      </c>
      <c r="J92">
        <f t="shared" si="5"/>
        <v>4054.8037999999997</v>
      </c>
      <c r="K92" s="4">
        <v>346.99</v>
      </c>
      <c r="L92" t="str">
        <f t="shared" si="6"/>
        <v>Sep-2024</v>
      </c>
      <c r="M92" s="35">
        <f t="shared" ca="1" si="7"/>
        <v>46134.720372222226</v>
      </c>
      <c r="T92" s="4"/>
      <c r="U92" s="15" t="s">
        <v>155</v>
      </c>
      <c r="V92" s="15"/>
      <c r="W92" s="15"/>
      <c r="X92" s="15"/>
      <c r="Y92" s="15"/>
      <c r="Z92" s="15"/>
      <c r="AA92" s="15"/>
      <c r="AB92" s="18" t="str">
        <f>HYPERLINK("#SalesVsRegion!A1","CLICK HERE")</f>
        <v>CLICK HERE</v>
      </c>
      <c r="AC92" s="18"/>
    </row>
    <row r="93" spans="1:29" ht="15.75" customHeight="1" thickBot="1" x14ac:dyDescent="0.35">
      <c r="A93" s="4" t="s">
        <v>75</v>
      </c>
      <c r="B93" s="4" t="s">
        <v>16</v>
      </c>
      <c r="C93" s="4" t="s">
        <v>22</v>
      </c>
      <c r="D93" s="4" t="s">
        <v>29</v>
      </c>
      <c r="E93" s="4">
        <v>727.73</v>
      </c>
      <c r="F93" s="4">
        <v>1</v>
      </c>
      <c r="G93" s="4">
        <v>0.1</v>
      </c>
      <c r="H93" s="5">
        <v>45552</v>
      </c>
      <c r="I93">
        <f t="shared" si="4"/>
        <v>727.00227000000007</v>
      </c>
      <c r="J93">
        <f t="shared" si="5"/>
        <v>497.77227000000005</v>
      </c>
      <c r="K93" s="4">
        <v>229.23</v>
      </c>
      <c r="L93" t="str">
        <f t="shared" si="6"/>
        <v>Sep-2024</v>
      </c>
      <c r="M93" s="35">
        <f t="shared" ca="1" si="7"/>
        <v>46134.720372222226</v>
      </c>
      <c r="T93" s="38"/>
      <c r="U93" s="12"/>
      <c r="V93" s="12"/>
      <c r="W93" s="12"/>
      <c r="X93" s="12"/>
      <c r="Y93" s="12"/>
      <c r="Z93" s="12"/>
      <c r="AA93" s="12"/>
      <c r="AB93" s="12"/>
      <c r="AC93" s="12"/>
    </row>
    <row r="94" spans="1:29" ht="15.75" customHeight="1" x14ac:dyDescent="0.3">
      <c r="A94" s="4" t="s">
        <v>76</v>
      </c>
      <c r="B94" s="4" t="s">
        <v>40</v>
      </c>
      <c r="C94" s="4" t="s">
        <v>20</v>
      </c>
      <c r="D94" s="4" t="s">
        <v>41</v>
      </c>
      <c r="E94" s="4">
        <v>875.41</v>
      </c>
      <c r="F94" s="4">
        <v>13</v>
      </c>
      <c r="G94" s="4">
        <v>0.15</v>
      </c>
      <c r="H94" s="5">
        <v>45552</v>
      </c>
      <c r="I94">
        <f t="shared" si="4"/>
        <v>11363.259505</v>
      </c>
      <c r="J94">
        <f t="shared" si="5"/>
        <v>11028.419505</v>
      </c>
      <c r="K94" s="4">
        <v>334.84</v>
      </c>
      <c r="L94" t="str">
        <f t="shared" si="6"/>
        <v>Sep-2024</v>
      </c>
      <c r="M94" s="35">
        <f t="shared" ca="1" si="7"/>
        <v>46134.720372222226</v>
      </c>
      <c r="T94" s="4"/>
    </row>
    <row r="95" spans="1:29" ht="15.75" customHeight="1" x14ac:dyDescent="0.3">
      <c r="A95" s="4" t="s">
        <v>69</v>
      </c>
      <c r="B95" s="4" t="s">
        <v>25</v>
      </c>
      <c r="C95" s="4" t="s">
        <v>13</v>
      </c>
      <c r="D95" s="4" t="s">
        <v>23</v>
      </c>
      <c r="E95" s="4">
        <v>1158.94</v>
      </c>
      <c r="F95" s="4">
        <v>19</v>
      </c>
      <c r="G95" s="4">
        <v>0.2</v>
      </c>
      <c r="H95" s="5">
        <v>45553</v>
      </c>
      <c r="I95">
        <f t="shared" si="4"/>
        <v>21975.82028</v>
      </c>
      <c r="J95">
        <f t="shared" si="5"/>
        <v>21744.030279999999</v>
      </c>
      <c r="K95" s="4">
        <v>231.79</v>
      </c>
      <c r="L95" t="str">
        <f t="shared" si="6"/>
        <v>Sep-2024</v>
      </c>
      <c r="M95" s="35">
        <f t="shared" ca="1" si="7"/>
        <v>46134.720372222226</v>
      </c>
      <c r="T95" s="4"/>
      <c r="U95" s="15" t="s">
        <v>171</v>
      </c>
      <c r="V95" s="15"/>
      <c r="W95" s="15"/>
      <c r="X95" s="15"/>
      <c r="Y95" s="15"/>
      <c r="Z95" s="15"/>
      <c r="AA95" s="15"/>
      <c r="AB95" s="18" t="str">
        <f>HYPERLINK("#visualization!A1","CLICK HERE")</f>
        <v>CLICK HERE</v>
      </c>
      <c r="AC95" s="21"/>
    </row>
    <row r="96" spans="1:29" ht="15.75" customHeight="1" thickBot="1" x14ac:dyDescent="0.35">
      <c r="A96" s="4" t="s">
        <v>77</v>
      </c>
      <c r="B96" s="4" t="s">
        <v>49</v>
      </c>
      <c r="C96" s="4" t="s">
        <v>22</v>
      </c>
      <c r="D96" s="4" t="s">
        <v>14</v>
      </c>
      <c r="E96" s="4">
        <v>966.3</v>
      </c>
      <c r="F96" s="4">
        <v>2</v>
      </c>
      <c r="G96" s="4">
        <v>0.15</v>
      </c>
      <c r="H96" s="5">
        <v>45557</v>
      </c>
      <c r="I96">
        <f t="shared" si="4"/>
        <v>1929.7011</v>
      </c>
      <c r="J96">
        <f t="shared" si="5"/>
        <v>1601.1611</v>
      </c>
      <c r="K96" s="4">
        <v>328.54</v>
      </c>
      <c r="L96" t="str">
        <f t="shared" si="6"/>
        <v>Sep-2024</v>
      </c>
      <c r="M96" s="35">
        <f t="shared" ca="1" si="7"/>
        <v>46134.720372222226</v>
      </c>
      <c r="T96" s="38"/>
      <c r="U96" s="12"/>
      <c r="V96" s="12"/>
      <c r="W96" s="12"/>
      <c r="X96" s="12"/>
      <c r="Y96" s="12"/>
      <c r="Z96" s="12"/>
      <c r="AA96" s="12"/>
      <c r="AB96" s="12"/>
      <c r="AC96" s="12"/>
    </row>
    <row r="97" spans="1:20" ht="15.75" customHeight="1" x14ac:dyDescent="0.3">
      <c r="A97" s="4" t="s">
        <v>70</v>
      </c>
      <c r="B97" s="4" t="s">
        <v>19</v>
      </c>
      <c r="C97" s="4" t="s">
        <v>22</v>
      </c>
      <c r="D97" s="4" t="s">
        <v>14</v>
      </c>
      <c r="E97" s="4">
        <v>917.48</v>
      </c>
      <c r="F97" s="4">
        <v>6</v>
      </c>
      <c r="G97" s="4">
        <v>0</v>
      </c>
      <c r="H97" s="5">
        <v>45558</v>
      </c>
      <c r="I97">
        <f t="shared" si="4"/>
        <v>5504.88</v>
      </c>
      <c r="J97">
        <f t="shared" si="5"/>
        <v>5137.8900000000003</v>
      </c>
      <c r="K97" s="4">
        <v>366.99</v>
      </c>
      <c r="L97" t="str">
        <f t="shared" si="6"/>
        <v>Sep-2024</v>
      </c>
      <c r="M97" s="35">
        <f t="shared" ca="1" si="7"/>
        <v>46134.720372222226</v>
      </c>
      <c r="T97" s="4"/>
    </row>
    <row r="98" spans="1:20" ht="15.75" customHeight="1" x14ac:dyDescent="0.3">
      <c r="A98" s="4" t="s">
        <v>43</v>
      </c>
      <c r="B98" s="4" t="s">
        <v>63</v>
      </c>
      <c r="C98" s="4" t="s">
        <v>13</v>
      </c>
      <c r="D98" s="4" t="s">
        <v>29</v>
      </c>
      <c r="E98" s="4">
        <v>1172.97</v>
      </c>
      <c r="F98" s="4">
        <v>7</v>
      </c>
      <c r="G98" s="4">
        <v>0.15</v>
      </c>
      <c r="H98" s="5">
        <v>45559</v>
      </c>
      <c r="I98">
        <f t="shared" si="4"/>
        <v>8198.4738150000012</v>
      </c>
      <c r="J98">
        <f t="shared" si="5"/>
        <v>7849.5138150000012</v>
      </c>
      <c r="K98" s="4">
        <v>348.96</v>
      </c>
      <c r="L98" t="str">
        <f t="shared" si="6"/>
        <v>Sep-2024</v>
      </c>
      <c r="M98" s="35">
        <f t="shared" ca="1" si="7"/>
        <v>46134.720372222226</v>
      </c>
      <c r="T98" s="4"/>
    </row>
    <row r="99" spans="1:20" ht="15.75" customHeight="1" x14ac:dyDescent="0.3">
      <c r="A99" s="4" t="s">
        <v>59</v>
      </c>
      <c r="B99" s="4" t="s">
        <v>25</v>
      </c>
      <c r="C99" s="4" t="s">
        <v>26</v>
      </c>
      <c r="D99" s="4" t="s">
        <v>17</v>
      </c>
      <c r="E99" s="4">
        <v>1205.82</v>
      </c>
      <c r="F99" s="4">
        <v>11</v>
      </c>
      <c r="G99" s="4">
        <v>0.1</v>
      </c>
      <c r="H99" s="5">
        <v>45559</v>
      </c>
      <c r="I99">
        <f t="shared" si="4"/>
        <v>13250.755979999998</v>
      </c>
      <c r="J99">
        <f t="shared" si="5"/>
        <v>12708.135979999997</v>
      </c>
      <c r="K99" s="4">
        <v>542.62</v>
      </c>
      <c r="L99" t="str">
        <f t="shared" si="6"/>
        <v>Sep-2024</v>
      </c>
      <c r="M99" s="35">
        <f t="shared" ca="1" si="7"/>
        <v>46134.720372222226</v>
      </c>
      <c r="T99" s="4"/>
    </row>
    <row r="100" spans="1:20" ht="15.75" customHeight="1" x14ac:dyDescent="0.3">
      <c r="A100" s="4" t="s">
        <v>18</v>
      </c>
      <c r="B100" s="4" t="s">
        <v>66</v>
      </c>
      <c r="C100" s="4" t="s">
        <v>13</v>
      </c>
      <c r="D100" s="4" t="s">
        <v>41</v>
      </c>
      <c r="E100" s="4">
        <v>826.93</v>
      </c>
      <c r="F100" s="4">
        <v>10</v>
      </c>
      <c r="G100" s="4">
        <v>0.2</v>
      </c>
      <c r="H100" s="5">
        <v>45564</v>
      </c>
      <c r="I100">
        <f t="shared" si="4"/>
        <v>8252.7613999999994</v>
      </c>
      <c r="J100">
        <f t="shared" si="5"/>
        <v>7955.0713999999998</v>
      </c>
      <c r="K100" s="4">
        <v>297.69</v>
      </c>
      <c r="L100" t="str">
        <f t="shared" si="6"/>
        <v>Sep-2024</v>
      </c>
      <c r="M100" s="35">
        <f t="shared" ca="1" si="7"/>
        <v>46134.720372222226</v>
      </c>
      <c r="T100" s="4"/>
    </row>
    <row r="101" spans="1:20" ht="15.75" customHeight="1" x14ac:dyDescent="0.3">
      <c r="A101" s="4" t="s">
        <v>69</v>
      </c>
      <c r="B101" s="4" t="s">
        <v>25</v>
      </c>
      <c r="C101" s="4" t="s">
        <v>36</v>
      </c>
      <c r="D101" s="4" t="s">
        <v>17</v>
      </c>
      <c r="E101" s="4">
        <v>902.19</v>
      </c>
      <c r="F101" s="4">
        <v>12</v>
      </c>
      <c r="G101" s="4">
        <v>0</v>
      </c>
      <c r="H101" s="5">
        <v>45564</v>
      </c>
      <c r="I101">
        <f t="shared" si="4"/>
        <v>10826.28</v>
      </c>
      <c r="J101">
        <f t="shared" si="5"/>
        <v>10375.18</v>
      </c>
      <c r="K101" s="4">
        <v>451.1</v>
      </c>
      <c r="L101" t="str">
        <f t="shared" si="6"/>
        <v>Sep-2024</v>
      </c>
      <c r="M101" s="35">
        <f t="shared" ca="1" si="7"/>
        <v>46134.720372222226</v>
      </c>
      <c r="T101" s="4"/>
    </row>
    <row r="102" spans="1:20" ht="15.75" customHeight="1" x14ac:dyDescent="0.3">
      <c r="A102" s="4" t="s">
        <v>76</v>
      </c>
      <c r="B102" s="4" t="s">
        <v>40</v>
      </c>
      <c r="C102" s="4" t="s">
        <v>26</v>
      </c>
      <c r="D102" s="4" t="s">
        <v>14</v>
      </c>
      <c r="E102" s="4">
        <v>585.97</v>
      </c>
      <c r="F102" s="4">
        <v>17</v>
      </c>
      <c r="G102" s="4">
        <v>0.1</v>
      </c>
      <c r="H102" s="5">
        <v>45565</v>
      </c>
      <c r="I102">
        <f t="shared" si="4"/>
        <v>9951.5285100000001</v>
      </c>
      <c r="J102">
        <f t="shared" si="5"/>
        <v>9740.5785099999994</v>
      </c>
      <c r="K102" s="4">
        <v>210.95</v>
      </c>
      <c r="L102" t="str">
        <f t="shared" si="6"/>
        <v>Sep-2024</v>
      </c>
      <c r="M102" s="35">
        <f t="shared" ca="1" si="7"/>
        <v>46134.720372222226</v>
      </c>
      <c r="T102" s="4"/>
    </row>
    <row r="103" spans="1:20" ht="15.75" customHeight="1" x14ac:dyDescent="0.3">
      <c r="A103" s="4" t="s">
        <v>62</v>
      </c>
      <c r="B103" s="4" t="s">
        <v>28</v>
      </c>
      <c r="C103" s="4" t="s">
        <v>26</v>
      </c>
      <c r="D103" s="4" t="s">
        <v>17</v>
      </c>
      <c r="E103" s="4">
        <v>990.19</v>
      </c>
      <c r="F103" s="4">
        <v>8</v>
      </c>
      <c r="G103" s="4">
        <v>0.1</v>
      </c>
      <c r="H103" s="5">
        <v>45565</v>
      </c>
      <c r="I103">
        <f t="shared" si="4"/>
        <v>7913.5984800000006</v>
      </c>
      <c r="J103">
        <f t="shared" si="5"/>
        <v>7468.0084800000004</v>
      </c>
      <c r="K103" s="4">
        <v>445.59</v>
      </c>
      <c r="L103" t="str">
        <f t="shared" si="6"/>
        <v>Sep-2024</v>
      </c>
      <c r="M103" s="35">
        <f t="shared" ca="1" si="7"/>
        <v>46134.720372222226</v>
      </c>
      <c r="T103" s="4"/>
    </row>
    <row r="104" spans="1:20" ht="15.75" customHeight="1" x14ac:dyDescent="0.3">
      <c r="A104" s="4" t="s">
        <v>46</v>
      </c>
      <c r="B104" s="4" t="s">
        <v>58</v>
      </c>
      <c r="C104" s="4" t="s">
        <v>36</v>
      </c>
      <c r="D104" s="4" t="s">
        <v>23</v>
      </c>
      <c r="E104" s="4">
        <v>1014.09</v>
      </c>
      <c r="F104" s="4">
        <v>13</v>
      </c>
      <c r="G104" s="4">
        <v>0.2</v>
      </c>
      <c r="H104" s="5">
        <v>45567</v>
      </c>
      <c r="I104">
        <f t="shared" si="4"/>
        <v>13156.80366</v>
      </c>
      <c r="J104">
        <f t="shared" si="5"/>
        <v>12953.98366</v>
      </c>
      <c r="K104" s="4">
        <v>202.82</v>
      </c>
      <c r="L104" t="str">
        <f t="shared" si="6"/>
        <v>Oct-2024</v>
      </c>
      <c r="M104" s="35">
        <f t="shared" ca="1" si="7"/>
        <v>46134.720372222226</v>
      </c>
      <c r="T104" s="4"/>
    </row>
    <row r="105" spans="1:20" ht="15.75" customHeight="1" x14ac:dyDescent="0.3">
      <c r="A105" s="4" t="s">
        <v>15</v>
      </c>
      <c r="B105" s="4" t="s">
        <v>50</v>
      </c>
      <c r="C105" s="4" t="s">
        <v>26</v>
      </c>
      <c r="D105" s="4" t="s">
        <v>23</v>
      </c>
      <c r="E105" s="4">
        <v>925.29</v>
      </c>
      <c r="F105" s="4">
        <v>17</v>
      </c>
      <c r="G105" s="4">
        <v>0</v>
      </c>
      <c r="H105" s="5">
        <v>45570</v>
      </c>
      <c r="I105">
        <f t="shared" si="4"/>
        <v>15729.93</v>
      </c>
      <c r="J105">
        <f t="shared" si="5"/>
        <v>15498.61</v>
      </c>
      <c r="K105" s="4">
        <v>231.32</v>
      </c>
      <c r="L105" t="str">
        <f t="shared" si="6"/>
        <v>Oct-2024</v>
      </c>
      <c r="M105" s="35">
        <f t="shared" ca="1" si="7"/>
        <v>46134.720372222226</v>
      </c>
      <c r="T105" s="4"/>
    </row>
    <row r="106" spans="1:20" ht="15.75" customHeight="1" x14ac:dyDescent="0.3">
      <c r="A106" s="4" t="s">
        <v>56</v>
      </c>
      <c r="B106" s="4" t="s">
        <v>49</v>
      </c>
      <c r="C106" s="4" t="s">
        <v>20</v>
      </c>
      <c r="D106" s="4" t="s">
        <v>29</v>
      </c>
      <c r="E106" s="4">
        <v>1286.54</v>
      </c>
      <c r="F106" s="4">
        <v>8</v>
      </c>
      <c r="G106" s="4">
        <v>0</v>
      </c>
      <c r="H106" s="5">
        <v>45575</v>
      </c>
      <c r="I106">
        <f t="shared" si="4"/>
        <v>10292.32</v>
      </c>
      <c r="J106">
        <f t="shared" si="5"/>
        <v>9842.0299999999988</v>
      </c>
      <c r="K106" s="4">
        <v>450.29</v>
      </c>
      <c r="L106" t="str">
        <f t="shared" si="6"/>
        <v>Oct-2024</v>
      </c>
      <c r="M106" s="35">
        <f t="shared" ca="1" si="7"/>
        <v>46134.720372222226</v>
      </c>
      <c r="T106" s="4"/>
    </row>
    <row r="107" spans="1:20" ht="15.75" customHeight="1" x14ac:dyDescent="0.3">
      <c r="A107" s="4" t="s">
        <v>39</v>
      </c>
      <c r="B107" s="4" t="s">
        <v>66</v>
      </c>
      <c r="C107" s="4" t="s">
        <v>22</v>
      </c>
      <c r="D107" s="4" t="s">
        <v>14</v>
      </c>
      <c r="E107" s="4">
        <v>961.62</v>
      </c>
      <c r="F107" s="4">
        <v>8</v>
      </c>
      <c r="G107" s="4">
        <v>0.2</v>
      </c>
      <c r="H107" s="5">
        <v>45577</v>
      </c>
      <c r="I107">
        <f t="shared" si="4"/>
        <v>7677.5740800000003</v>
      </c>
      <c r="J107">
        <f t="shared" si="5"/>
        <v>7369.8540800000001</v>
      </c>
      <c r="K107" s="4">
        <v>307.72000000000003</v>
      </c>
      <c r="L107" t="str">
        <f t="shared" si="6"/>
        <v>Oct-2024</v>
      </c>
      <c r="M107" s="35">
        <f t="shared" ca="1" si="7"/>
        <v>46134.720372222226</v>
      </c>
      <c r="T107" s="4"/>
    </row>
    <row r="108" spans="1:20" ht="15.75" customHeight="1" x14ac:dyDescent="0.3">
      <c r="A108" s="4" t="s">
        <v>46</v>
      </c>
      <c r="B108" s="4" t="s">
        <v>25</v>
      </c>
      <c r="C108" s="4" t="s">
        <v>20</v>
      </c>
      <c r="D108" s="4" t="s">
        <v>14</v>
      </c>
      <c r="E108" s="4">
        <v>1081.1400000000001</v>
      </c>
      <c r="F108" s="4">
        <v>19</v>
      </c>
      <c r="G108" s="4">
        <v>0.15</v>
      </c>
      <c r="H108" s="5">
        <v>45577</v>
      </c>
      <c r="I108">
        <f t="shared" si="4"/>
        <v>20510.847510000003</v>
      </c>
      <c r="J108">
        <f t="shared" si="5"/>
        <v>20143.257510000003</v>
      </c>
      <c r="K108" s="4">
        <v>367.59</v>
      </c>
      <c r="L108" t="str">
        <f t="shared" si="6"/>
        <v>Oct-2024</v>
      </c>
      <c r="M108" s="35">
        <f t="shared" ca="1" si="7"/>
        <v>46134.720372222226</v>
      </c>
      <c r="T108" s="4"/>
    </row>
    <row r="109" spans="1:20" ht="15.75" customHeight="1" x14ac:dyDescent="0.3">
      <c r="A109" s="4" t="s">
        <v>60</v>
      </c>
      <c r="B109" s="4" t="s">
        <v>25</v>
      </c>
      <c r="C109" s="4" t="s">
        <v>13</v>
      </c>
      <c r="D109" s="4" t="s">
        <v>17</v>
      </c>
      <c r="E109" s="4">
        <v>1923.66</v>
      </c>
      <c r="F109" s="4">
        <v>9</v>
      </c>
      <c r="G109" s="4">
        <v>0.2</v>
      </c>
      <c r="H109" s="5">
        <v>45580</v>
      </c>
      <c r="I109">
        <f t="shared" si="4"/>
        <v>17278.314120000003</v>
      </c>
      <c r="J109">
        <f t="shared" si="5"/>
        <v>16508.854120000004</v>
      </c>
      <c r="K109" s="4">
        <v>769.46</v>
      </c>
      <c r="L109" t="str">
        <f t="shared" si="6"/>
        <v>Oct-2024</v>
      </c>
      <c r="M109" s="35">
        <f t="shared" ca="1" si="7"/>
        <v>46134.720372222226</v>
      </c>
      <c r="T109" s="4"/>
    </row>
    <row r="110" spans="1:20" ht="15.75" customHeight="1" x14ac:dyDescent="0.3">
      <c r="A110" s="4" t="s">
        <v>56</v>
      </c>
      <c r="B110" s="4" t="s">
        <v>68</v>
      </c>
      <c r="C110" s="4" t="s">
        <v>36</v>
      </c>
      <c r="D110" s="4" t="s">
        <v>17</v>
      </c>
      <c r="E110" s="4">
        <v>728.71</v>
      </c>
      <c r="F110" s="4">
        <v>14</v>
      </c>
      <c r="G110" s="4">
        <v>0.1</v>
      </c>
      <c r="H110" s="5">
        <v>45581</v>
      </c>
      <c r="I110">
        <f t="shared" si="4"/>
        <v>10191.73806</v>
      </c>
      <c r="J110">
        <f t="shared" si="5"/>
        <v>9863.8180599999996</v>
      </c>
      <c r="K110" s="4">
        <v>327.92</v>
      </c>
      <c r="L110" t="str">
        <f t="shared" si="6"/>
        <v>Oct-2024</v>
      </c>
      <c r="M110" s="35">
        <f t="shared" ca="1" si="7"/>
        <v>46134.720372222226</v>
      </c>
      <c r="T110" s="4"/>
    </row>
    <row r="111" spans="1:20" ht="15.75" customHeight="1" x14ac:dyDescent="0.3">
      <c r="A111" s="4" t="s">
        <v>11</v>
      </c>
      <c r="B111" s="4" t="s">
        <v>35</v>
      </c>
      <c r="C111" s="4" t="s">
        <v>36</v>
      </c>
      <c r="D111" s="4" t="s">
        <v>17</v>
      </c>
      <c r="E111" s="4">
        <v>1301.8900000000001</v>
      </c>
      <c r="F111" s="4">
        <v>7</v>
      </c>
      <c r="G111" s="4">
        <v>0.15</v>
      </c>
      <c r="H111" s="5">
        <v>45581</v>
      </c>
      <c r="I111">
        <f t="shared" si="4"/>
        <v>9099.560155000001</v>
      </c>
      <c r="J111">
        <f t="shared" si="5"/>
        <v>8546.2601550000018</v>
      </c>
      <c r="K111" s="4">
        <v>553.29999999999995</v>
      </c>
      <c r="L111" t="str">
        <f t="shared" si="6"/>
        <v>Oct-2024</v>
      </c>
      <c r="M111" s="35">
        <f t="shared" ca="1" si="7"/>
        <v>46134.720372222226</v>
      </c>
      <c r="T111" s="4"/>
    </row>
    <row r="112" spans="1:20" ht="15.75" customHeight="1" x14ac:dyDescent="0.3">
      <c r="A112" s="4" t="s">
        <v>72</v>
      </c>
      <c r="B112" s="4" t="s">
        <v>68</v>
      </c>
      <c r="C112" s="4" t="s">
        <v>20</v>
      </c>
      <c r="D112" s="4" t="s">
        <v>14</v>
      </c>
      <c r="E112" s="4">
        <v>980.18</v>
      </c>
      <c r="F112" s="4">
        <v>16</v>
      </c>
      <c r="G112" s="4">
        <v>0.1</v>
      </c>
      <c r="H112" s="5">
        <v>45582</v>
      </c>
      <c r="I112">
        <f t="shared" si="4"/>
        <v>15667.197119999999</v>
      </c>
      <c r="J112">
        <f t="shared" si="5"/>
        <v>15314.337119999998</v>
      </c>
      <c r="K112" s="4">
        <v>352.86</v>
      </c>
      <c r="L112" t="str">
        <f t="shared" si="6"/>
        <v>Oct-2024</v>
      </c>
      <c r="M112" s="35">
        <f t="shared" ca="1" si="7"/>
        <v>46134.720372222226</v>
      </c>
      <c r="T112" s="4"/>
    </row>
    <row r="113" spans="1:20" ht="15.75" customHeight="1" x14ac:dyDescent="0.3">
      <c r="A113" s="4" t="s">
        <v>76</v>
      </c>
      <c r="B113" s="4" t="s">
        <v>25</v>
      </c>
      <c r="C113" s="4" t="s">
        <v>13</v>
      </c>
      <c r="D113" s="4" t="s">
        <v>17</v>
      </c>
      <c r="E113" s="4">
        <v>697.57</v>
      </c>
      <c r="F113" s="4">
        <v>17</v>
      </c>
      <c r="G113" s="4">
        <v>0.1</v>
      </c>
      <c r="H113" s="5">
        <v>45584</v>
      </c>
      <c r="I113">
        <f t="shared" si="4"/>
        <v>11846.831310000001</v>
      </c>
      <c r="J113">
        <f t="shared" si="5"/>
        <v>11532.921310000002</v>
      </c>
      <c r="K113" s="4">
        <v>313.91000000000003</v>
      </c>
      <c r="L113" t="str">
        <f t="shared" si="6"/>
        <v>Oct-2024</v>
      </c>
      <c r="M113" s="35">
        <f t="shared" ca="1" si="7"/>
        <v>46134.720372222226</v>
      </c>
      <c r="T113" s="4"/>
    </row>
    <row r="114" spans="1:20" ht="15.75" customHeight="1" x14ac:dyDescent="0.3">
      <c r="A114" s="4" t="s">
        <v>48</v>
      </c>
      <c r="B114" s="4" t="s">
        <v>73</v>
      </c>
      <c r="C114" s="4" t="s">
        <v>13</v>
      </c>
      <c r="D114" s="4" t="s">
        <v>29</v>
      </c>
      <c r="E114" s="4">
        <v>1193.6099999999999</v>
      </c>
      <c r="F114" s="4">
        <v>1</v>
      </c>
      <c r="G114" s="4">
        <v>0.15</v>
      </c>
      <c r="H114" s="5">
        <v>45584</v>
      </c>
      <c r="I114">
        <f t="shared" si="4"/>
        <v>1191.819585</v>
      </c>
      <c r="J114">
        <f t="shared" si="5"/>
        <v>836.71958499999994</v>
      </c>
      <c r="K114" s="4">
        <v>355.1</v>
      </c>
      <c r="L114" t="str">
        <f t="shared" si="6"/>
        <v>Oct-2024</v>
      </c>
      <c r="M114" s="35">
        <f t="shared" ca="1" si="7"/>
        <v>46134.720372222226</v>
      </c>
      <c r="T114" s="4"/>
    </row>
    <row r="115" spans="1:20" ht="15.75" customHeight="1" x14ac:dyDescent="0.3">
      <c r="A115" s="4" t="s">
        <v>34</v>
      </c>
      <c r="B115" s="4" t="s">
        <v>40</v>
      </c>
      <c r="C115" s="4" t="s">
        <v>22</v>
      </c>
      <c r="D115" s="4" t="s">
        <v>23</v>
      </c>
      <c r="E115" s="4">
        <v>771.02</v>
      </c>
      <c r="F115" s="4">
        <v>1</v>
      </c>
      <c r="G115" s="4">
        <v>0</v>
      </c>
      <c r="H115" s="5">
        <v>45585</v>
      </c>
      <c r="I115">
        <f t="shared" si="4"/>
        <v>771.02</v>
      </c>
      <c r="J115">
        <f t="shared" si="5"/>
        <v>578.26</v>
      </c>
      <c r="K115" s="4">
        <v>192.76</v>
      </c>
      <c r="L115" t="str">
        <f t="shared" si="6"/>
        <v>Oct-2024</v>
      </c>
      <c r="M115" s="35">
        <f t="shared" ca="1" si="7"/>
        <v>46134.720372222226</v>
      </c>
      <c r="T115" s="4"/>
    </row>
    <row r="116" spans="1:20" ht="15.75" customHeight="1" x14ac:dyDescent="0.3">
      <c r="A116" s="4" t="s">
        <v>69</v>
      </c>
      <c r="B116" s="4" t="s">
        <v>71</v>
      </c>
      <c r="C116" s="4" t="s">
        <v>26</v>
      </c>
      <c r="D116" s="4" t="s">
        <v>17</v>
      </c>
      <c r="E116" s="4">
        <v>661.09</v>
      </c>
      <c r="F116" s="4">
        <v>1</v>
      </c>
      <c r="G116" s="4">
        <v>0.2</v>
      </c>
      <c r="H116" s="5">
        <v>45593</v>
      </c>
      <c r="I116">
        <f t="shared" si="4"/>
        <v>659.76782000000003</v>
      </c>
      <c r="J116">
        <f t="shared" si="5"/>
        <v>395.32782000000003</v>
      </c>
      <c r="K116" s="4">
        <v>264.44</v>
      </c>
      <c r="L116" t="str">
        <f t="shared" si="6"/>
        <v>Oct-2024</v>
      </c>
      <c r="M116" s="35">
        <f t="shared" ca="1" si="7"/>
        <v>46134.720372222226</v>
      </c>
      <c r="T116" s="4"/>
    </row>
    <row r="117" spans="1:20" ht="15.75" customHeight="1" x14ac:dyDescent="0.3">
      <c r="A117" s="4" t="s">
        <v>15</v>
      </c>
      <c r="B117" s="4" t="s">
        <v>57</v>
      </c>
      <c r="C117" s="4" t="s">
        <v>13</v>
      </c>
      <c r="D117" s="4" t="s">
        <v>23</v>
      </c>
      <c r="E117" s="4">
        <v>688.83</v>
      </c>
      <c r="F117" s="4">
        <v>15</v>
      </c>
      <c r="G117" s="4">
        <v>0</v>
      </c>
      <c r="H117" s="5">
        <v>45595</v>
      </c>
      <c r="I117">
        <f t="shared" si="4"/>
        <v>10332.450000000001</v>
      </c>
      <c r="J117">
        <f t="shared" si="5"/>
        <v>10160.240000000002</v>
      </c>
      <c r="K117" s="4">
        <v>172.21</v>
      </c>
      <c r="L117" t="str">
        <f t="shared" si="6"/>
        <v>Oct-2024</v>
      </c>
      <c r="M117" s="35">
        <f t="shared" ca="1" si="7"/>
        <v>46134.720372222226</v>
      </c>
      <c r="T117" s="4"/>
    </row>
    <row r="118" spans="1:20" ht="15.75" customHeight="1" x14ac:dyDescent="0.3">
      <c r="A118" s="4" t="s">
        <v>75</v>
      </c>
      <c r="B118" s="4" t="s">
        <v>31</v>
      </c>
      <c r="C118" s="4" t="s">
        <v>36</v>
      </c>
      <c r="D118" s="4" t="s">
        <v>14</v>
      </c>
      <c r="E118" s="4">
        <v>1249.0999999999999</v>
      </c>
      <c r="F118" s="4">
        <v>4</v>
      </c>
      <c r="G118" s="4">
        <v>0.05</v>
      </c>
      <c r="H118" s="5">
        <v>45597</v>
      </c>
      <c r="I118">
        <f t="shared" si="4"/>
        <v>4993.9017999999996</v>
      </c>
      <c r="J118">
        <f t="shared" si="5"/>
        <v>4519.2417999999998</v>
      </c>
      <c r="K118" s="4">
        <v>474.66</v>
      </c>
      <c r="L118" t="str">
        <f t="shared" si="6"/>
        <v>Nov-2024</v>
      </c>
      <c r="M118" s="35">
        <f t="shared" ca="1" si="7"/>
        <v>46134.720372222226</v>
      </c>
      <c r="T118" s="4"/>
    </row>
    <row r="119" spans="1:20" ht="15.75" customHeight="1" x14ac:dyDescent="0.3">
      <c r="A119" s="4" t="s">
        <v>46</v>
      </c>
      <c r="B119" s="4" t="s">
        <v>25</v>
      </c>
      <c r="C119" s="4" t="s">
        <v>20</v>
      </c>
      <c r="D119" s="4" t="s">
        <v>41</v>
      </c>
      <c r="E119" s="4">
        <v>1014.22</v>
      </c>
      <c r="F119" s="4">
        <v>14</v>
      </c>
      <c r="G119" s="4">
        <v>0.05</v>
      </c>
      <c r="H119" s="5">
        <v>45599</v>
      </c>
      <c r="I119">
        <f t="shared" si="4"/>
        <v>14191.980460000001</v>
      </c>
      <c r="J119">
        <f t="shared" si="5"/>
        <v>13758.400460000001</v>
      </c>
      <c r="K119" s="4">
        <v>433.58</v>
      </c>
      <c r="L119" t="str">
        <f t="shared" si="6"/>
        <v>Nov-2024</v>
      </c>
      <c r="M119" s="35">
        <f t="shared" ca="1" si="7"/>
        <v>46134.720372222226</v>
      </c>
      <c r="T119" s="4"/>
    </row>
    <row r="120" spans="1:20" ht="15.75" customHeight="1" x14ac:dyDescent="0.3">
      <c r="A120" s="4" t="s">
        <v>56</v>
      </c>
      <c r="B120" s="4" t="s">
        <v>50</v>
      </c>
      <c r="C120" s="4" t="s">
        <v>20</v>
      </c>
      <c r="D120" s="4" t="s">
        <v>14</v>
      </c>
      <c r="E120" s="4">
        <v>1010.58</v>
      </c>
      <c r="F120" s="4">
        <v>2</v>
      </c>
      <c r="G120" s="4">
        <v>0.15</v>
      </c>
      <c r="H120" s="5">
        <v>45605</v>
      </c>
      <c r="I120">
        <f t="shared" si="4"/>
        <v>2018.1282600000002</v>
      </c>
      <c r="J120">
        <f t="shared" si="5"/>
        <v>1674.52826</v>
      </c>
      <c r="K120" s="4">
        <v>343.6</v>
      </c>
      <c r="L120" t="str">
        <f t="shared" si="6"/>
        <v>Nov-2024</v>
      </c>
      <c r="M120" s="35">
        <f t="shared" ca="1" si="7"/>
        <v>46134.720372222226</v>
      </c>
      <c r="T120" s="4"/>
    </row>
    <row r="121" spans="1:20" ht="15.75" customHeight="1" x14ac:dyDescent="0.3">
      <c r="A121" s="4" t="s">
        <v>32</v>
      </c>
      <c r="B121" s="4" t="s">
        <v>61</v>
      </c>
      <c r="C121" s="4" t="s">
        <v>26</v>
      </c>
      <c r="D121" s="4" t="s">
        <v>29</v>
      </c>
      <c r="E121" s="4">
        <v>957.29</v>
      </c>
      <c r="F121" s="4">
        <v>4</v>
      </c>
      <c r="G121" s="4">
        <v>0.05</v>
      </c>
      <c r="H121" s="5">
        <v>45605</v>
      </c>
      <c r="I121">
        <f t="shared" si="4"/>
        <v>3827.2454199999997</v>
      </c>
      <c r="J121">
        <f t="shared" si="5"/>
        <v>3508.9454199999996</v>
      </c>
      <c r="K121" s="4">
        <v>318.3</v>
      </c>
      <c r="L121" t="str">
        <f t="shared" si="6"/>
        <v>Nov-2024</v>
      </c>
      <c r="M121" s="35">
        <f t="shared" ca="1" si="7"/>
        <v>46134.720372222226</v>
      </c>
      <c r="T121" s="4"/>
    </row>
    <row r="122" spans="1:20" ht="15.75" customHeight="1" x14ac:dyDescent="0.3">
      <c r="A122" s="4" t="s">
        <v>30</v>
      </c>
      <c r="B122" s="4" t="s">
        <v>47</v>
      </c>
      <c r="C122" s="4" t="s">
        <v>26</v>
      </c>
      <c r="D122" s="4" t="s">
        <v>29</v>
      </c>
      <c r="E122" s="4">
        <v>1077.92</v>
      </c>
      <c r="F122" s="4">
        <v>3</v>
      </c>
      <c r="G122" s="4">
        <v>0.05</v>
      </c>
      <c r="H122" s="5">
        <v>45608</v>
      </c>
      <c r="I122">
        <f t="shared" si="4"/>
        <v>3232.1431200000002</v>
      </c>
      <c r="J122">
        <f t="shared" si="5"/>
        <v>2873.7331200000003</v>
      </c>
      <c r="K122" s="4">
        <v>358.41</v>
      </c>
      <c r="L122" t="str">
        <f t="shared" si="6"/>
        <v>Nov-2024</v>
      </c>
      <c r="M122" s="35">
        <f t="shared" ca="1" si="7"/>
        <v>46134.720372222226</v>
      </c>
      <c r="T122" s="4"/>
    </row>
    <row r="123" spans="1:20" ht="15.75" customHeight="1" x14ac:dyDescent="0.3">
      <c r="A123" s="4" t="s">
        <v>54</v>
      </c>
      <c r="B123" s="4" t="s">
        <v>52</v>
      </c>
      <c r="C123" s="4" t="s">
        <v>22</v>
      </c>
      <c r="D123" s="4" t="s">
        <v>17</v>
      </c>
      <c r="E123" s="4">
        <v>1163.01</v>
      </c>
      <c r="F123" s="4">
        <v>5</v>
      </c>
      <c r="G123" s="4">
        <v>0</v>
      </c>
      <c r="H123" s="5">
        <v>45611</v>
      </c>
      <c r="I123">
        <f t="shared" si="4"/>
        <v>5815.05</v>
      </c>
      <c r="J123">
        <f t="shared" si="5"/>
        <v>5233.55</v>
      </c>
      <c r="K123" s="4">
        <v>581.5</v>
      </c>
      <c r="L123" t="str">
        <f t="shared" si="6"/>
        <v>Nov-2024</v>
      </c>
      <c r="M123" s="35">
        <f t="shared" ca="1" si="7"/>
        <v>46134.720372222226</v>
      </c>
      <c r="T123" s="4"/>
    </row>
    <row r="124" spans="1:20" ht="15.75" customHeight="1" x14ac:dyDescent="0.3">
      <c r="A124" s="4" t="s">
        <v>56</v>
      </c>
      <c r="B124" s="4" t="s">
        <v>47</v>
      </c>
      <c r="C124" s="4" t="s">
        <v>20</v>
      </c>
      <c r="D124" s="4" t="s">
        <v>41</v>
      </c>
      <c r="E124" s="4">
        <v>1014.56</v>
      </c>
      <c r="F124" s="4">
        <v>10</v>
      </c>
      <c r="G124" s="4">
        <v>0.1</v>
      </c>
      <c r="H124" s="5">
        <v>45612</v>
      </c>
      <c r="I124">
        <f t="shared" si="4"/>
        <v>10135.454399999999</v>
      </c>
      <c r="J124">
        <f t="shared" si="5"/>
        <v>9724.5543999999991</v>
      </c>
      <c r="K124" s="4">
        <v>410.9</v>
      </c>
      <c r="L124" t="str">
        <f t="shared" si="6"/>
        <v>Nov-2024</v>
      </c>
      <c r="M124" s="35">
        <f t="shared" ca="1" si="7"/>
        <v>46134.720372222226</v>
      </c>
      <c r="T124" s="4"/>
    </row>
    <row r="125" spans="1:20" ht="15.75" customHeight="1" x14ac:dyDescent="0.3">
      <c r="A125" s="4" t="s">
        <v>11</v>
      </c>
      <c r="B125" s="4" t="s">
        <v>19</v>
      </c>
      <c r="C125" s="4" t="s">
        <v>22</v>
      </c>
      <c r="D125" s="4" t="s">
        <v>23</v>
      </c>
      <c r="E125" s="4">
        <v>718.04</v>
      </c>
      <c r="F125" s="4">
        <v>14</v>
      </c>
      <c r="G125" s="4">
        <v>0</v>
      </c>
      <c r="H125" s="5">
        <v>45613</v>
      </c>
      <c r="I125">
        <f t="shared" si="4"/>
        <v>10052.56</v>
      </c>
      <c r="J125">
        <f t="shared" si="5"/>
        <v>9873.0499999999993</v>
      </c>
      <c r="K125" s="4">
        <v>179.51</v>
      </c>
      <c r="L125" t="str">
        <f t="shared" si="6"/>
        <v>Nov-2024</v>
      </c>
      <c r="M125" s="35">
        <f t="shared" ca="1" si="7"/>
        <v>46134.720372222226</v>
      </c>
      <c r="T125" s="4"/>
    </row>
    <row r="126" spans="1:20" ht="15.75" customHeight="1" x14ac:dyDescent="0.3">
      <c r="A126" s="4" t="s">
        <v>74</v>
      </c>
      <c r="B126" s="4" t="s">
        <v>19</v>
      </c>
      <c r="C126" s="4" t="s">
        <v>36</v>
      </c>
      <c r="D126" s="4" t="s">
        <v>17</v>
      </c>
      <c r="E126" s="4">
        <v>1277.8499999999999</v>
      </c>
      <c r="F126" s="4">
        <v>18</v>
      </c>
      <c r="G126" s="4">
        <v>0.2</v>
      </c>
      <c r="H126" s="5">
        <v>45613</v>
      </c>
      <c r="I126">
        <f t="shared" si="4"/>
        <v>22955.297399999999</v>
      </c>
      <c r="J126">
        <f t="shared" si="5"/>
        <v>22444.1574</v>
      </c>
      <c r="K126" s="4">
        <v>511.14</v>
      </c>
      <c r="L126" t="str">
        <f t="shared" si="6"/>
        <v>Nov-2024</v>
      </c>
      <c r="M126" s="35">
        <f t="shared" ca="1" si="7"/>
        <v>46134.720372222226</v>
      </c>
      <c r="T126" s="4"/>
    </row>
    <row r="127" spans="1:20" ht="15.75" customHeight="1" x14ac:dyDescent="0.3">
      <c r="A127" s="4" t="s">
        <v>72</v>
      </c>
      <c r="B127" s="4" t="s">
        <v>25</v>
      </c>
      <c r="C127" s="4" t="s">
        <v>26</v>
      </c>
      <c r="D127" s="4" t="s">
        <v>23</v>
      </c>
      <c r="E127" s="4">
        <v>706.73</v>
      </c>
      <c r="F127" s="4">
        <v>1</v>
      </c>
      <c r="G127" s="4">
        <v>0.15</v>
      </c>
      <c r="H127" s="5">
        <v>45613</v>
      </c>
      <c r="I127">
        <f t="shared" si="4"/>
        <v>705.66990499999997</v>
      </c>
      <c r="J127">
        <f t="shared" si="5"/>
        <v>555.48990499999991</v>
      </c>
      <c r="K127" s="4">
        <v>150.18</v>
      </c>
      <c r="L127" t="str">
        <f t="shared" si="6"/>
        <v>Nov-2024</v>
      </c>
      <c r="M127" s="35">
        <f t="shared" ca="1" si="7"/>
        <v>46134.720372222226</v>
      </c>
      <c r="T127" s="4"/>
    </row>
    <row r="128" spans="1:20" ht="15.75" customHeight="1" x14ac:dyDescent="0.3">
      <c r="A128" s="4" t="s">
        <v>67</v>
      </c>
      <c r="B128" s="4" t="s">
        <v>52</v>
      </c>
      <c r="C128" s="4" t="s">
        <v>20</v>
      </c>
      <c r="D128" s="4" t="s">
        <v>23</v>
      </c>
      <c r="E128" s="4">
        <v>1410.59</v>
      </c>
      <c r="F128" s="4">
        <v>15</v>
      </c>
      <c r="G128" s="4">
        <v>0</v>
      </c>
      <c r="H128" s="5">
        <v>45615</v>
      </c>
      <c r="I128">
        <f t="shared" si="4"/>
        <v>21158.85</v>
      </c>
      <c r="J128">
        <f t="shared" si="5"/>
        <v>20806.199999999997</v>
      </c>
      <c r="K128" s="4">
        <v>352.65</v>
      </c>
      <c r="L128" t="str">
        <f t="shared" si="6"/>
        <v>Nov-2024</v>
      </c>
      <c r="M128" s="35">
        <f t="shared" ca="1" si="7"/>
        <v>46134.720372222226</v>
      </c>
      <c r="T128" s="4"/>
    </row>
    <row r="129" spans="1:20" ht="15.75" customHeight="1" x14ac:dyDescent="0.3">
      <c r="A129" s="4" t="s">
        <v>34</v>
      </c>
      <c r="B129" s="4" t="s">
        <v>63</v>
      </c>
      <c r="C129" s="4" t="s">
        <v>22</v>
      </c>
      <c r="D129" s="4" t="s">
        <v>29</v>
      </c>
      <c r="E129" s="4">
        <v>1350.33</v>
      </c>
      <c r="F129" s="4">
        <v>10</v>
      </c>
      <c r="G129" s="4">
        <v>0</v>
      </c>
      <c r="H129" s="5">
        <v>45615</v>
      </c>
      <c r="I129">
        <f t="shared" si="4"/>
        <v>13503.3</v>
      </c>
      <c r="J129">
        <f t="shared" si="5"/>
        <v>13030.679999999998</v>
      </c>
      <c r="K129" s="4">
        <v>472.62</v>
      </c>
      <c r="L129" t="str">
        <f t="shared" si="6"/>
        <v>Nov-2024</v>
      </c>
      <c r="M129" s="35">
        <f t="shared" ca="1" si="7"/>
        <v>46134.720372222226</v>
      </c>
      <c r="T129" s="4"/>
    </row>
    <row r="130" spans="1:20" ht="15.75" customHeight="1" x14ac:dyDescent="0.3">
      <c r="A130" s="4" t="s">
        <v>43</v>
      </c>
      <c r="B130" s="4" t="s">
        <v>47</v>
      </c>
      <c r="C130" s="4" t="s">
        <v>20</v>
      </c>
      <c r="D130" s="4" t="s">
        <v>23</v>
      </c>
      <c r="E130" s="4">
        <v>919.18</v>
      </c>
      <c r="F130" s="4">
        <v>4</v>
      </c>
      <c r="G130" s="4">
        <v>0.15</v>
      </c>
      <c r="H130" s="5">
        <v>45615</v>
      </c>
      <c r="I130">
        <f t="shared" si="4"/>
        <v>3671.2049199999997</v>
      </c>
      <c r="J130">
        <f t="shared" si="5"/>
        <v>3475.8749199999997</v>
      </c>
      <c r="K130" s="4">
        <v>195.33</v>
      </c>
      <c r="L130" t="str">
        <f t="shared" si="6"/>
        <v>Nov-2024</v>
      </c>
      <c r="M130" s="35">
        <f t="shared" ca="1" si="7"/>
        <v>46134.720372222226</v>
      </c>
      <c r="T130" s="4"/>
    </row>
    <row r="131" spans="1:20" ht="15.75" customHeight="1" x14ac:dyDescent="0.3">
      <c r="A131" s="4" t="s">
        <v>76</v>
      </c>
      <c r="B131" s="4" t="s">
        <v>25</v>
      </c>
      <c r="C131" s="4" t="s">
        <v>13</v>
      </c>
      <c r="D131" s="4" t="s">
        <v>23</v>
      </c>
      <c r="E131" s="4">
        <v>258.51</v>
      </c>
      <c r="F131" s="4">
        <v>19</v>
      </c>
      <c r="G131" s="4">
        <v>0</v>
      </c>
      <c r="H131" s="5">
        <v>45616</v>
      </c>
      <c r="I131">
        <f t="shared" ref="I131:I194" si="8">E131*F131-(E131*F131*G131%)</f>
        <v>4911.6899999999996</v>
      </c>
      <c r="J131">
        <f t="shared" ref="J131:J194" si="9">I131-K131</f>
        <v>4847.0599999999995</v>
      </c>
      <c r="K131" s="4">
        <v>64.63</v>
      </c>
      <c r="L131" t="str">
        <f t="shared" ref="L131:L194" si="10">TEXT(H131,"mmm-yyyy")</f>
        <v>Nov-2024</v>
      </c>
      <c r="M131" s="35">
        <f t="shared" ref="M131:M194" ca="1" si="11">NOW()</f>
        <v>46134.720372222226</v>
      </c>
      <c r="T131" s="4"/>
    </row>
    <row r="132" spans="1:20" ht="15.75" customHeight="1" x14ac:dyDescent="0.3">
      <c r="A132" s="4" t="s">
        <v>65</v>
      </c>
      <c r="B132" s="4" t="s">
        <v>63</v>
      </c>
      <c r="C132" s="4" t="s">
        <v>20</v>
      </c>
      <c r="D132" s="4" t="s">
        <v>14</v>
      </c>
      <c r="E132" s="4">
        <v>1213.48</v>
      </c>
      <c r="F132" s="4">
        <v>5</v>
      </c>
      <c r="G132" s="4">
        <v>0.05</v>
      </c>
      <c r="H132" s="5">
        <v>45616</v>
      </c>
      <c r="I132">
        <f t="shared" si="8"/>
        <v>6064.3662999999997</v>
      </c>
      <c r="J132">
        <f t="shared" si="9"/>
        <v>5603.2462999999998</v>
      </c>
      <c r="K132" s="4">
        <v>461.12</v>
      </c>
      <c r="L132" t="str">
        <f t="shared" si="10"/>
        <v>Nov-2024</v>
      </c>
      <c r="M132" s="35">
        <f t="shared" ca="1" si="11"/>
        <v>46134.720372222226</v>
      </c>
      <c r="T132" s="4"/>
    </row>
    <row r="133" spans="1:20" ht="15.75" customHeight="1" x14ac:dyDescent="0.3">
      <c r="A133" s="4" t="s">
        <v>59</v>
      </c>
      <c r="B133" s="4" t="s">
        <v>40</v>
      </c>
      <c r="C133" s="4" t="s">
        <v>36</v>
      </c>
      <c r="D133" s="4" t="s">
        <v>14</v>
      </c>
      <c r="E133" s="4">
        <v>1150.28</v>
      </c>
      <c r="F133" s="4">
        <v>8</v>
      </c>
      <c r="G133" s="4">
        <v>0.05</v>
      </c>
      <c r="H133" s="5">
        <v>45622</v>
      </c>
      <c r="I133">
        <f t="shared" si="8"/>
        <v>9197.6388800000004</v>
      </c>
      <c r="J133">
        <f t="shared" si="9"/>
        <v>8760.5288799999998</v>
      </c>
      <c r="K133" s="4">
        <v>437.11</v>
      </c>
      <c r="L133" t="str">
        <f t="shared" si="10"/>
        <v>Nov-2024</v>
      </c>
      <c r="M133" s="35">
        <f t="shared" ca="1" si="11"/>
        <v>46134.720372222226</v>
      </c>
      <c r="T133" s="4"/>
    </row>
    <row r="134" spans="1:20" ht="15.75" customHeight="1" x14ac:dyDescent="0.3">
      <c r="A134" s="4" t="s">
        <v>39</v>
      </c>
      <c r="B134" s="4" t="s">
        <v>73</v>
      </c>
      <c r="C134" s="4" t="s">
        <v>22</v>
      </c>
      <c r="D134" s="4" t="s">
        <v>29</v>
      </c>
      <c r="E134" s="4">
        <v>853.86</v>
      </c>
      <c r="F134" s="4">
        <v>8</v>
      </c>
      <c r="G134" s="4">
        <v>0.1</v>
      </c>
      <c r="H134" s="5">
        <v>45622</v>
      </c>
      <c r="I134">
        <f t="shared" si="8"/>
        <v>6824.0491199999997</v>
      </c>
      <c r="J134">
        <f t="shared" si="9"/>
        <v>6555.0791199999994</v>
      </c>
      <c r="K134" s="4">
        <v>268.97000000000003</v>
      </c>
      <c r="L134" t="str">
        <f t="shared" si="10"/>
        <v>Nov-2024</v>
      </c>
      <c r="M134" s="35">
        <f t="shared" ca="1" si="11"/>
        <v>46134.720372222226</v>
      </c>
      <c r="T134" s="4"/>
    </row>
    <row r="135" spans="1:20" ht="15.75" customHeight="1" x14ac:dyDescent="0.3">
      <c r="A135" s="4" t="s">
        <v>77</v>
      </c>
      <c r="B135" s="4" t="s">
        <v>47</v>
      </c>
      <c r="C135" s="4" t="s">
        <v>22</v>
      </c>
      <c r="D135" s="4" t="s">
        <v>23</v>
      </c>
      <c r="E135" s="4">
        <v>1061.04</v>
      </c>
      <c r="F135" s="4">
        <v>1</v>
      </c>
      <c r="G135" s="4">
        <v>0</v>
      </c>
      <c r="H135" s="5">
        <v>45624</v>
      </c>
      <c r="I135">
        <f t="shared" si="8"/>
        <v>1061.04</v>
      </c>
      <c r="J135">
        <f t="shared" si="9"/>
        <v>795.78</v>
      </c>
      <c r="K135" s="4">
        <v>265.26</v>
      </c>
      <c r="L135" t="str">
        <f t="shared" si="10"/>
        <v>Nov-2024</v>
      </c>
      <c r="M135" s="35">
        <f t="shared" ca="1" si="11"/>
        <v>46134.720372222226</v>
      </c>
      <c r="T135" s="4"/>
    </row>
    <row r="136" spans="1:20" ht="15.75" customHeight="1" x14ac:dyDescent="0.3">
      <c r="A136" s="4" t="s">
        <v>30</v>
      </c>
      <c r="B136" s="4" t="s">
        <v>45</v>
      </c>
      <c r="C136" s="4" t="s">
        <v>13</v>
      </c>
      <c r="D136" s="4" t="s">
        <v>23</v>
      </c>
      <c r="E136" s="4">
        <v>894.55</v>
      </c>
      <c r="F136" s="4">
        <v>19</v>
      </c>
      <c r="G136" s="4">
        <v>0.2</v>
      </c>
      <c r="H136" s="5">
        <v>45625</v>
      </c>
      <c r="I136">
        <f t="shared" si="8"/>
        <v>16962.4571</v>
      </c>
      <c r="J136">
        <f t="shared" si="9"/>
        <v>16783.5471</v>
      </c>
      <c r="K136" s="4">
        <v>178.91</v>
      </c>
      <c r="L136" t="str">
        <f t="shared" si="10"/>
        <v>Nov-2024</v>
      </c>
      <c r="M136" s="35">
        <f t="shared" ca="1" si="11"/>
        <v>46134.720372222226</v>
      </c>
      <c r="T136" s="4"/>
    </row>
    <row r="137" spans="1:20" ht="15.75" customHeight="1" x14ac:dyDescent="0.3">
      <c r="A137" s="4" t="s">
        <v>27</v>
      </c>
      <c r="B137" s="4" t="s">
        <v>40</v>
      </c>
      <c r="C137" s="4" t="s">
        <v>26</v>
      </c>
      <c r="D137" s="4" t="s">
        <v>41</v>
      </c>
      <c r="E137" s="4">
        <v>833.91</v>
      </c>
      <c r="F137" s="4">
        <v>3</v>
      </c>
      <c r="G137" s="4">
        <v>0.05</v>
      </c>
      <c r="H137" s="5">
        <v>45626</v>
      </c>
      <c r="I137">
        <f t="shared" si="8"/>
        <v>2500.479135</v>
      </c>
      <c r="J137">
        <f t="shared" si="9"/>
        <v>2143.979135</v>
      </c>
      <c r="K137" s="4">
        <v>356.5</v>
      </c>
      <c r="L137" t="str">
        <f t="shared" si="10"/>
        <v>Nov-2024</v>
      </c>
      <c r="M137" s="35">
        <f t="shared" ca="1" si="11"/>
        <v>46134.720372222226</v>
      </c>
      <c r="T137" s="4"/>
    </row>
    <row r="138" spans="1:20" ht="15.75" customHeight="1" x14ac:dyDescent="0.3">
      <c r="A138" s="4" t="s">
        <v>60</v>
      </c>
      <c r="B138" s="4" t="s">
        <v>73</v>
      </c>
      <c r="C138" s="4" t="s">
        <v>13</v>
      </c>
      <c r="D138" s="4" t="s">
        <v>29</v>
      </c>
      <c r="E138" s="4">
        <v>820.19</v>
      </c>
      <c r="F138" s="4">
        <v>4</v>
      </c>
      <c r="G138" s="4">
        <v>0.2</v>
      </c>
      <c r="H138" s="5">
        <v>45630</v>
      </c>
      <c r="I138">
        <f t="shared" si="8"/>
        <v>3274.19848</v>
      </c>
      <c r="J138">
        <f t="shared" si="9"/>
        <v>3044.5484799999999</v>
      </c>
      <c r="K138" s="4">
        <v>229.65</v>
      </c>
      <c r="L138" t="str">
        <f t="shared" si="10"/>
        <v>Dec-2024</v>
      </c>
      <c r="M138" s="35">
        <f t="shared" ca="1" si="11"/>
        <v>46134.720372222226</v>
      </c>
      <c r="T138" s="4"/>
    </row>
    <row r="139" spans="1:20" ht="15.75" customHeight="1" x14ac:dyDescent="0.3">
      <c r="A139" s="4" t="s">
        <v>60</v>
      </c>
      <c r="B139" s="4" t="s">
        <v>40</v>
      </c>
      <c r="C139" s="4" t="s">
        <v>36</v>
      </c>
      <c r="D139" s="4" t="s">
        <v>23</v>
      </c>
      <c r="E139" s="4">
        <v>511.74</v>
      </c>
      <c r="F139" s="4">
        <v>8</v>
      </c>
      <c r="G139" s="4">
        <v>0.05</v>
      </c>
      <c r="H139" s="5">
        <v>45631</v>
      </c>
      <c r="I139">
        <f t="shared" si="8"/>
        <v>4091.8730399999999</v>
      </c>
      <c r="J139">
        <f t="shared" si="9"/>
        <v>3970.33304</v>
      </c>
      <c r="K139" s="4">
        <v>121.54</v>
      </c>
      <c r="L139" t="str">
        <f t="shared" si="10"/>
        <v>Dec-2024</v>
      </c>
      <c r="M139" s="35">
        <f t="shared" ca="1" si="11"/>
        <v>46134.720372222226</v>
      </c>
      <c r="T139" s="4"/>
    </row>
    <row r="140" spans="1:20" ht="15.75" customHeight="1" x14ac:dyDescent="0.3">
      <c r="A140" s="4" t="s">
        <v>67</v>
      </c>
      <c r="B140" s="4" t="s">
        <v>63</v>
      </c>
      <c r="C140" s="4" t="s">
        <v>22</v>
      </c>
      <c r="D140" s="4" t="s">
        <v>29</v>
      </c>
      <c r="E140" s="4">
        <v>806.03</v>
      </c>
      <c r="F140" s="4">
        <v>19</v>
      </c>
      <c r="G140" s="4">
        <v>0.05</v>
      </c>
      <c r="H140" s="5">
        <v>45638</v>
      </c>
      <c r="I140">
        <f t="shared" si="8"/>
        <v>15306.912715</v>
      </c>
      <c r="J140">
        <f t="shared" si="9"/>
        <v>15038.912715</v>
      </c>
      <c r="K140" s="4">
        <v>268</v>
      </c>
      <c r="L140" t="str">
        <f t="shared" si="10"/>
        <v>Dec-2024</v>
      </c>
      <c r="M140" s="35">
        <f t="shared" ca="1" si="11"/>
        <v>46134.720372222226</v>
      </c>
      <c r="T140" s="4"/>
    </row>
    <row r="141" spans="1:20" ht="15.75" customHeight="1" x14ac:dyDescent="0.3">
      <c r="A141" s="4" t="s">
        <v>30</v>
      </c>
      <c r="B141" s="4" t="s">
        <v>28</v>
      </c>
      <c r="C141" s="4" t="s">
        <v>36</v>
      </c>
      <c r="D141" s="4" t="s">
        <v>29</v>
      </c>
      <c r="E141" s="4">
        <v>1432.47</v>
      </c>
      <c r="F141" s="4">
        <v>16</v>
      </c>
      <c r="G141" s="4">
        <v>0.15</v>
      </c>
      <c r="H141" s="5">
        <v>45640</v>
      </c>
      <c r="I141">
        <f t="shared" si="8"/>
        <v>22885.140719999999</v>
      </c>
      <c r="J141">
        <f t="shared" si="9"/>
        <v>22458.98072</v>
      </c>
      <c r="K141" s="4">
        <v>426.16</v>
      </c>
      <c r="L141" t="str">
        <f t="shared" si="10"/>
        <v>Dec-2024</v>
      </c>
      <c r="M141" s="35">
        <f t="shared" ca="1" si="11"/>
        <v>46134.720372222226</v>
      </c>
      <c r="T141" s="4"/>
    </row>
    <row r="142" spans="1:20" ht="15.75" customHeight="1" x14ac:dyDescent="0.3">
      <c r="A142" s="4" t="s">
        <v>76</v>
      </c>
      <c r="B142" s="4" t="s">
        <v>31</v>
      </c>
      <c r="C142" s="4" t="s">
        <v>36</v>
      </c>
      <c r="D142" s="4" t="s">
        <v>23</v>
      </c>
      <c r="E142" s="4">
        <v>1488.58</v>
      </c>
      <c r="F142" s="4">
        <v>10</v>
      </c>
      <c r="G142" s="4">
        <v>0.15</v>
      </c>
      <c r="H142" s="5">
        <v>45640</v>
      </c>
      <c r="I142">
        <f t="shared" si="8"/>
        <v>14863.471299999999</v>
      </c>
      <c r="J142">
        <f t="shared" si="9"/>
        <v>14547.1513</v>
      </c>
      <c r="K142" s="4">
        <v>316.32</v>
      </c>
      <c r="L142" t="str">
        <f t="shared" si="10"/>
        <v>Dec-2024</v>
      </c>
      <c r="M142" s="35">
        <f t="shared" ca="1" si="11"/>
        <v>46134.720372222226</v>
      </c>
      <c r="T142" s="4"/>
    </row>
    <row r="143" spans="1:20" ht="15.75" customHeight="1" x14ac:dyDescent="0.3">
      <c r="A143" s="4" t="s">
        <v>32</v>
      </c>
      <c r="B143" s="4" t="s">
        <v>68</v>
      </c>
      <c r="C143" s="4" t="s">
        <v>20</v>
      </c>
      <c r="D143" s="4" t="s">
        <v>14</v>
      </c>
      <c r="E143" s="4">
        <v>1231.26</v>
      </c>
      <c r="F143" s="4">
        <v>9</v>
      </c>
      <c r="G143" s="4">
        <v>0</v>
      </c>
      <c r="H143" s="5">
        <v>45646</v>
      </c>
      <c r="I143">
        <f t="shared" si="8"/>
        <v>11081.34</v>
      </c>
      <c r="J143">
        <f t="shared" si="9"/>
        <v>10588.84</v>
      </c>
      <c r="K143" s="4">
        <v>492.5</v>
      </c>
      <c r="L143" t="str">
        <f t="shared" si="10"/>
        <v>Dec-2024</v>
      </c>
      <c r="M143" s="35">
        <f t="shared" ca="1" si="11"/>
        <v>46134.720372222226</v>
      </c>
      <c r="T143" s="4"/>
    </row>
    <row r="144" spans="1:20" ht="15.75" customHeight="1" x14ac:dyDescent="0.3">
      <c r="A144" s="4" t="s">
        <v>32</v>
      </c>
      <c r="B144" s="4" t="s">
        <v>45</v>
      </c>
      <c r="C144" s="4" t="s">
        <v>13</v>
      </c>
      <c r="D144" s="4" t="s">
        <v>23</v>
      </c>
      <c r="E144" s="4">
        <v>1161.67</v>
      </c>
      <c r="F144" s="4">
        <v>19</v>
      </c>
      <c r="G144" s="4">
        <v>0.2</v>
      </c>
      <c r="H144" s="5">
        <v>45647</v>
      </c>
      <c r="I144">
        <f t="shared" si="8"/>
        <v>22027.586540000004</v>
      </c>
      <c r="J144">
        <f t="shared" si="9"/>
        <v>21795.256540000002</v>
      </c>
      <c r="K144" s="4">
        <v>232.33</v>
      </c>
      <c r="L144" t="str">
        <f t="shared" si="10"/>
        <v>Dec-2024</v>
      </c>
      <c r="M144" s="35">
        <f t="shared" ca="1" si="11"/>
        <v>46134.720372222226</v>
      </c>
      <c r="T144" s="4"/>
    </row>
    <row r="145" spans="1:20" ht="15.75" customHeight="1" x14ac:dyDescent="0.3">
      <c r="A145" s="4" t="s">
        <v>51</v>
      </c>
      <c r="B145" s="4" t="s">
        <v>47</v>
      </c>
      <c r="C145" s="4" t="s">
        <v>36</v>
      </c>
      <c r="D145" s="4" t="s">
        <v>41</v>
      </c>
      <c r="E145" s="4">
        <v>388.23</v>
      </c>
      <c r="F145" s="4">
        <v>16</v>
      </c>
      <c r="G145" s="4">
        <v>0.05</v>
      </c>
      <c r="H145" s="5">
        <v>45650</v>
      </c>
      <c r="I145">
        <f t="shared" si="8"/>
        <v>6208.5741600000001</v>
      </c>
      <c r="J145">
        <f t="shared" si="9"/>
        <v>6042.6041599999999</v>
      </c>
      <c r="K145" s="4">
        <v>165.97</v>
      </c>
      <c r="L145" t="str">
        <f t="shared" si="10"/>
        <v>Dec-2024</v>
      </c>
      <c r="M145" s="35">
        <f t="shared" ca="1" si="11"/>
        <v>46134.720372222226</v>
      </c>
      <c r="T145" s="4"/>
    </row>
    <row r="146" spans="1:20" ht="15.75" customHeight="1" x14ac:dyDescent="0.3">
      <c r="A146" s="4" t="s">
        <v>74</v>
      </c>
      <c r="B146" s="4" t="s">
        <v>33</v>
      </c>
      <c r="C146" s="4" t="s">
        <v>26</v>
      </c>
      <c r="D146" s="4" t="s">
        <v>17</v>
      </c>
      <c r="E146" s="4">
        <v>1589.42</v>
      </c>
      <c r="F146" s="4">
        <v>6</v>
      </c>
      <c r="G146" s="4">
        <v>0.15</v>
      </c>
      <c r="H146" s="5">
        <v>45651</v>
      </c>
      <c r="I146">
        <f t="shared" si="8"/>
        <v>9522.21522</v>
      </c>
      <c r="J146">
        <f t="shared" si="9"/>
        <v>8846.71522</v>
      </c>
      <c r="K146" s="4">
        <v>675.5</v>
      </c>
      <c r="L146" t="str">
        <f t="shared" si="10"/>
        <v>Dec-2024</v>
      </c>
      <c r="M146" s="35">
        <f t="shared" ca="1" si="11"/>
        <v>46134.720372222226</v>
      </c>
      <c r="T146" s="4"/>
    </row>
    <row r="147" spans="1:20" ht="15.75" customHeight="1" x14ac:dyDescent="0.3">
      <c r="A147" s="4" t="s">
        <v>30</v>
      </c>
      <c r="B147" s="4" t="s">
        <v>73</v>
      </c>
      <c r="C147" s="4" t="s">
        <v>26</v>
      </c>
      <c r="D147" s="4" t="s">
        <v>17</v>
      </c>
      <c r="E147" s="4">
        <v>336.66</v>
      </c>
      <c r="F147" s="4">
        <v>13</v>
      </c>
      <c r="G147" s="4">
        <v>0.2</v>
      </c>
      <c r="H147" s="5">
        <v>45651</v>
      </c>
      <c r="I147">
        <f t="shared" si="8"/>
        <v>4367.8268399999997</v>
      </c>
      <c r="J147">
        <f t="shared" si="9"/>
        <v>4233.1668399999999</v>
      </c>
      <c r="K147" s="4">
        <v>134.66</v>
      </c>
      <c r="L147" t="str">
        <f t="shared" si="10"/>
        <v>Dec-2024</v>
      </c>
      <c r="M147" s="35">
        <f t="shared" ca="1" si="11"/>
        <v>46134.720372222226</v>
      </c>
      <c r="T147" s="4"/>
    </row>
    <row r="148" spans="1:20" ht="15.75" customHeight="1" x14ac:dyDescent="0.3">
      <c r="A148" s="4" t="s">
        <v>51</v>
      </c>
      <c r="B148" s="4" t="s">
        <v>25</v>
      </c>
      <c r="C148" s="4" t="s">
        <v>13</v>
      </c>
      <c r="D148" s="4" t="s">
        <v>14</v>
      </c>
      <c r="E148" s="4">
        <v>1353.79</v>
      </c>
      <c r="F148" s="4">
        <v>14</v>
      </c>
      <c r="G148" s="4">
        <v>0.1</v>
      </c>
      <c r="H148" s="5">
        <v>45656</v>
      </c>
      <c r="I148">
        <f t="shared" si="8"/>
        <v>18934.106939999998</v>
      </c>
      <c r="J148">
        <f t="shared" si="9"/>
        <v>18446.746939999997</v>
      </c>
      <c r="K148" s="4">
        <v>487.36</v>
      </c>
      <c r="L148" t="str">
        <f t="shared" si="10"/>
        <v>Dec-2024</v>
      </c>
      <c r="M148" s="35">
        <f t="shared" ca="1" si="11"/>
        <v>46134.720372222226</v>
      </c>
      <c r="T148" s="4"/>
    </row>
    <row r="149" spans="1:20" ht="15.75" customHeight="1" x14ac:dyDescent="0.3">
      <c r="A149" s="4" t="s">
        <v>65</v>
      </c>
      <c r="B149" s="4" t="s">
        <v>71</v>
      </c>
      <c r="C149" s="4" t="s">
        <v>36</v>
      </c>
      <c r="D149" s="4" t="s">
        <v>17</v>
      </c>
      <c r="E149" s="4">
        <v>662.61</v>
      </c>
      <c r="F149" s="4">
        <v>11</v>
      </c>
      <c r="G149" s="4">
        <v>0.05</v>
      </c>
      <c r="H149" s="5">
        <v>45658</v>
      </c>
      <c r="I149">
        <f t="shared" si="8"/>
        <v>7285.0656449999997</v>
      </c>
      <c r="J149">
        <f t="shared" si="9"/>
        <v>6970.3256449999999</v>
      </c>
      <c r="K149" s="4">
        <v>314.74</v>
      </c>
      <c r="L149" t="str">
        <f t="shared" si="10"/>
        <v>Jan-2025</v>
      </c>
      <c r="M149" s="35">
        <f t="shared" ca="1" si="11"/>
        <v>46134.720372222226</v>
      </c>
      <c r="T149" s="4"/>
    </row>
    <row r="150" spans="1:20" ht="15.75" customHeight="1" x14ac:dyDescent="0.3">
      <c r="A150" s="4" t="s">
        <v>54</v>
      </c>
      <c r="B150" s="4" t="s">
        <v>50</v>
      </c>
      <c r="C150" s="4" t="s">
        <v>26</v>
      </c>
      <c r="D150" s="4" t="s">
        <v>41</v>
      </c>
      <c r="E150" s="4">
        <v>309.42</v>
      </c>
      <c r="F150" s="4">
        <v>1</v>
      </c>
      <c r="G150" s="4">
        <v>0.2</v>
      </c>
      <c r="H150" s="5">
        <v>45658</v>
      </c>
      <c r="I150">
        <f t="shared" si="8"/>
        <v>308.80116000000004</v>
      </c>
      <c r="J150">
        <f t="shared" si="9"/>
        <v>197.41116000000005</v>
      </c>
      <c r="K150" s="4">
        <v>111.39</v>
      </c>
      <c r="L150" t="str">
        <f t="shared" si="10"/>
        <v>Jan-2025</v>
      </c>
      <c r="M150" s="35">
        <f t="shared" ca="1" si="11"/>
        <v>46134.720372222226</v>
      </c>
      <c r="T150" s="4"/>
    </row>
    <row r="151" spans="1:20" ht="15.75" customHeight="1" x14ac:dyDescent="0.3">
      <c r="A151" s="4" t="s">
        <v>65</v>
      </c>
      <c r="B151" s="4" t="s">
        <v>31</v>
      </c>
      <c r="C151" s="4" t="s">
        <v>26</v>
      </c>
      <c r="D151" s="4" t="s">
        <v>14</v>
      </c>
      <c r="E151" s="4">
        <v>884.63</v>
      </c>
      <c r="F151" s="4">
        <v>18</v>
      </c>
      <c r="G151" s="4">
        <v>0.1</v>
      </c>
      <c r="H151" s="5">
        <v>45659</v>
      </c>
      <c r="I151">
        <f t="shared" si="8"/>
        <v>15907.416660000001</v>
      </c>
      <c r="J151">
        <f t="shared" si="9"/>
        <v>15588.946660000001</v>
      </c>
      <c r="K151" s="4">
        <v>318.47000000000003</v>
      </c>
      <c r="L151" t="str">
        <f t="shared" si="10"/>
        <v>Jan-2025</v>
      </c>
      <c r="M151" s="35">
        <f t="shared" ca="1" si="11"/>
        <v>46134.720372222226</v>
      </c>
      <c r="T151" s="4"/>
    </row>
    <row r="152" spans="1:20" ht="15.75" customHeight="1" x14ac:dyDescent="0.3">
      <c r="A152" s="4" t="s">
        <v>54</v>
      </c>
      <c r="B152" s="4" t="s">
        <v>25</v>
      </c>
      <c r="C152" s="4" t="s">
        <v>36</v>
      </c>
      <c r="D152" s="4" t="s">
        <v>41</v>
      </c>
      <c r="E152" s="4">
        <v>745.05</v>
      </c>
      <c r="F152" s="4">
        <v>10</v>
      </c>
      <c r="G152" s="4">
        <v>0.1</v>
      </c>
      <c r="H152" s="5">
        <v>45660</v>
      </c>
      <c r="I152">
        <f t="shared" si="8"/>
        <v>7443.0495000000001</v>
      </c>
      <c r="J152">
        <f t="shared" si="9"/>
        <v>7141.2995000000001</v>
      </c>
      <c r="K152" s="4">
        <v>301.75</v>
      </c>
      <c r="L152" t="str">
        <f t="shared" si="10"/>
        <v>Jan-2025</v>
      </c>
      <c r="M152" s="35">
        <f t="shared" ca="1" si="11"/>
        <v>46134.720372222226</v>
      </c>
      <c r="T152" s="4"/>
    </row>
    <row r="153" spans="1:20" ht="15.75" customHeight="1" x14ac:dyDescent="0.3">
      <c r="A153" s="4" t="s">
        <v>62</v>
      </c>
      <c r="B153" s="4" t="s">
        <v>19</v>
      </c>
      <c r="C153" s="4" t="s">
        <v>22</v>
      </c>
      <c r="D153" s="4" t="s">
        <v>17</v>
      </c>
      <c r="E153" s="4">
        <v>870.23</v>
      </c>
      <c r="F153" s="4">
        <v>5</v>
      </c>
      <c r="G153" s="4">
        <v>0.05</v>
      </c>
      <c r="H153" s="5">
        <v>45660</v>
      </c>
      <c r="I153">
        <f t="shared" si="8"/>
        <v>4348.9744249999994</v>
      </c>
      <c r="J153">
        <f t="shared" si="9"/>
        <v>3935.6144249999993</v>
      </c>
      <c r="K153" s="4">
        <v>413.36</v>
      </c>
      <c r="L153" t="str">
        <f t="shared" si="10"/>
        <v>Jan-2025</v>
      </c>
      <c r="M153" s="35">
        <f t="shared" ca="1" si="11"/>
        <v>46134.720372222226</v>
      </c>
      <c r="T153" s="4"/>
    </row>
    <row r="154" spans="1:20" ht="15.75" customHeight="1" x14ac:dyDescent="0.3">
      <c r="A154" s="4" t="s">
        <v>37</v>
      </c>
      <c r="B154" s="4" t="s">
        <v>31</v>
      </c>
      <c r="C154" s="4" t="s">
        <v>13</v>
      </c>
      <c r="D154" s="4" t="s">
        <v>29</v>
      </c>
      <c r="E154" s="4">
        <v>862.19</v>
      </c>
      <c r="F154" s="4">
        <v>18</v>
      </c>
      <c r="G154" s="4">
        <v>0.05</v>
      </c>
      <c r="H154" s="5">
        <v>45663</v>
      </c>
      <c r="I154">
        <f t="shared" si="8"/>
        <v>15511.660290000002</v>
      </c>
      <c r="J154">
        <f t="shared" si="9"/>
        <v>15224.980290000001</v>
      </c>
      <c r="K154" s="4">
        <v>286.68</v>
      </c>
      <c r="L154" t="str">
        <f t="shared" si="10"/>
        <v>Jan-2025</v>
      </c>
      <c r="M154" s="35">
        <f t="shared" ca="1" si="11"/>
        <v>46134.720372222226</v>
      </c>
      <c r="T154" s="4"/>
    </row>
    <row r="155" spans="1:20" ht="15.75" customHeight="1" x14ac:dyDescent="0.3">
      <c r="A155" s="4" t="s">
        <v>75</v>
      </c>
      <c r="B155" s="4" t="s">
        <v>61</v>
      </c>
      <c r="C155" s="4" t="s">
        <v>26</v>
      </c>
      <c r="D155" s="4" t="s">
        <v>17</v>
      </c>
      <c r="E155" s="4">
        <v>1171.18</v>
      </c>
      <c r="F155" s="4">
        <v>19</v>
      </c>
      <c r="G155" s="4">
        <v>0.05</v>
      </c>
      <c r="H155" s="5">
        <v>45667</v>
      </c>
      <c r="I155">
        <f t="shared" si="8"/>
        <v>22241.293790000003</v>
      </c>
      <c r="J155">
        <f t="shared" si="9"/>
        <v>21684.983790000002</v>
      </c>
      <c r="K155" s="4">
        <v>556.30999999999995</v>
      </c>
      <c r="L155" t="str">
        <f t="shared" si="10"/>
        <v>Jan-2025</v>
      </c>
      <c r="M155" s="35">
        <f t="shared" ca="1" si="11"/>
        <v>46134.720372222226</v>
      </c>
      <c r="T155" s="4"/>
    </row>
    <row r="156" spans="1:20" ht="15.75" customHeight="1" x14ac:dyDescent="0.3">
      <c r="A156" s="4" t="s">
        <v>60</v>
      </c>
      <c r="B156" s="4" t="s">
        <v>16</v>
      </c>
      <c r="C156" s="4" t="s">
        <v>22</v>
      </c>
      <c r="D156" s="4" t="s">
        <v>29</v>
      </c>
      <c r="E156" s="4">
        <v>1054.56</v>
      </c>
      <c r="F156" s="4">
        <v>11</v>
      </c>
      <c r="G156" s="4">
        <v>0.1</v>
      </c>
      <c r="H156" s="5">
        <v>45669</v>
      </c>
      <c r="I156">
        <f t="shared" si="8"/>
        <v>11588.55984</v>
      </c>
      <c r="J156">
        <f t="shared" si="9"/>
        <v>11256.369839999999</v>
      </c>
      <c r="K156" s="4">
        <v>332.19</v>
      </c>
      <c r="L156" t="str">
        <f t="shared" si="10"/>
        <v>Jan-2025</v>
      </c>
      <c r="M156" s="35">
        <f t="shared" ca="1" si="11"/>
        <v>46134.720372222226</v>
      </c>
      <c r="T156" s="4"/>
    </row>
    <row r="157" spans="1:20" ht="15.75" customHeight="1" x14ac:dyDescent="0.3">
      <c r="A157" s="4" t="s">
        <v>60</v>
      </c>
      <c r="B157" s="4" t="s">
        <v>25</v>
      </c>
      <c r="C157" s="4" t="s">
        <v>26</v>
      </c>
      <c r="D157" s="4" t="s">
        <v>23</v>
      </c>
      <c r="E157" s="4">
        <v>1681.21</v>
      </c>
      <c r="F157" s="4">
        <v>5</v>
      </c>
      <c r="G157" s="4">
        <v>0.2</v>
      </c>
      <c r="H157" s="5">
        <v>45670</v>
      </c>
      <c r="I157">
        <f t="shared" si="8"/>
        <v>8389.2379000000001</v>
      </c>
      <c r="J157">
        <f t="shared" si="9"/>
        <v>8052.9979000000003</v>
      </c>
      <c r="K157" s="4">
        <v>336.24</v>
      </c>
      <c r="L157" t="str">
        <f t="shared" si="10"/>
        <v>Jan-2025</v>
      </c>
      <c r="M157" s="35">
        <f t="shared" ca="1" si="11"/>
        <v>46134.720372222226</v>
      </c>
      <c r="T157" s="4"/>
    </row>
    <row r="158" spans="1:20" ht="15.75" customHeight="1" x14ac:dyDescent="0.3">
      <c r="A158" s="4" t="s">
        <v>60</v>
      </c>
      <c r="B158" s="4" t="s">
        <v>38</v>
      </c>
      <c r="C158" s="4" t="s">
        <v>13</v>
      </c>
      <c r="D158" s="4" t="s">
        <v>17</v>
      </c>
      <c r="E158" s="4">
        <v>379.77</v>
      </c>
      <c r="F158" s="4">
        <v>9</v>
      </c>
      <c r="G158" s="4">
        <v>0.05</v>
      </c>
      <c r="H158" s="5">
        <v>45673</v>
      </c>
      <c r="I158">
        <f t="shared" si="8"/>
        <v>3416.221035</v>
      </c>
      <c r="J158">
        <f t="shared" si="9"/>
        <v>3235.8310350000002</v>
      </c>
      <c r="K158" s="4">
        <v>180.39</v>
      </c>
      <c r="L158" t="str">
        <f t="shared" si="10"/>
        <v>Jan-2025</v>
      </c>
      <c r="M158" s="35">
        <f t="shared" ca="1" si="11"/>
        <v>46134.720372222226</v>
      </c>
      <c r="T158" s="4"/>
    </row>
    <row r="159" spans="1:20" ht="15.75" customHeight="1" x14ac:dyDescent="0.3">
      <c r="A159" s="4" t="s">
        <v>46</v>
      </c>
      <c r="B159" s="4" t="s">
        <v>47</v>
      </c>
      <c r="C159" s="4" t="s">
        <v>36</v>
      </c>
      <c r="D159" s="4" t="s">
        <v>17</v>
      </c>
      <c r="E159" s="4">
        <v>1076.33</v>
      </c>
      <c r="F159" s="4">
        <v>2</v>
      </c>
      <c r="G159" s="4">
        <v>0.1</v>
      </c>
      <c r="H159" s="5">
        <v>45674</v>
      </c>
      <c r="I159">
        <f t="shared" si="8"/>
        <v>2150.5073399999997</v>
      </c>
      <c r="J159">
        <f t="shared" si="9"/>
        <v>1666.1573399999997</v>
      </c>
      <c r="K159" s="4">
        <v>484.35</v>
      </c>
      <c r="L159" t="str">
        <f t="shared" si="10"/>
        <v>Jan-2025</v>
      </c>
      <c r="M159" s="35">
        <f t="shared" ca="1" si="11"/>
        <v>46134.720372222226</v>
      </c>
      <c r="T159" s="4"/>
    </row>
    <row r="160" spans="1:20" ht="15.75" customHeight="1" x14ac:dyDescent="0.3">
      <c r="A160" s="4" t="s">
        <v>46</v>
      </c>
      <c r="B160" s="4" t="s">
        <v>33</v>
      </c>
      <c r="C160" s="4" t="s">
        <v>36</v>
      </c>
      <c r="D160" s="4" t="s">
        <v>41</v>
      </c>
      <c r="E160" s="4">
        <v>1250.71</v>
      </c>
      <c r="F160" s="4">
        <v>7</v>
      </c>
      <c r="G160" s="4">
        <v>0</v>
      </c>
      <c r="H160" s="5">
        <v>45674</v>
      </c>
      <c r="I160">
        <f t="shared" si="8"/>
        <v>8754.9700000000012</v>
      </c>
      <c r="J160">
        <f t="shared" si="9"/>
        <v>8192.1500000000015</v>
      </c>
      <c r="K160" s="4">
        <v>562.82000000000005</v>
      </c>
      <c r="L160" t="str">
        <f t="shared" si="10"/>
        <v>Jan-2025</v>
      </c>
      <c r="M160" s="35">
        <f t="shared" ca="1" si="11"/>
        <v>46134.720372222226</v>
      </c>
      <c r="T160" s="4"/>
    </row>
    <row r="161" spans="1:20" ht="15.75" customHeight="1" x14ac:dyDescent="0.3">
      <c r="A161" s="4" t="s">
        <v>42</v>
      </c>
      <c r="B161" s="4" t="s">
        <v>19</v>
      </c>
      <c r="C161" s="4" t="s">
        <v>22</v>
      </c>
      <c r="D161" s="4" t="s">
        <v>17</v>
      </c>
      <c r="E161" s="4">
        <v>1118.3399999999999</v>
      </c>
      <c r="F161" s="4">
        <v>6</v>
      </c>
      <c r="G161" s="4">
        <v>0.2</v>
      </c>
      <c r="H161" s="5">
        <v>45674</v>
      </c>
      <c r="I161">
        <f t="shared" si="8"/>
        <v>6696.6199199999992</v>
      </c>
      <c r="J161">
        <f t="shared" si="9"/>
        <v>6249.279919999999</v>
      </c>
      <c r="K161" s="4">
        <v>447.34</v>
      </c>
      <c r="L161" t="str">
        <f t="shared" si="10"/>
        <v>Jan-2025</v>
      </c>
      <c r="M161" s="35">
        <f t="shared" ca="1" si="11"/>
        <v>46134.720372222226</v>
      </c>
      <c r="T161" s="4"/>
    </row>
    <row r="162" spans="1:20" ht="15.75" customHeight="1" x14ac:dyDescent="0.3">
      <c r="A162" s="4" t="s">
        <v>72</v>
      </c>
      <c r="B162" s="4" t="s">
        <v>55</v>
      </c>
      <c r="C162" s="4" t="s">
        <v>26</v>
      </c>
      <c r="D162" s="4" t="s">
        <v>17</v>
      </c>
      <c r="E162" s="4">
        <v>1622.62</v>
      </c>
      <c r="F162" s="4">
        <v>12</v>
      </c>
      <c r="G162" s="4">
        <v>0.2</v>
      </c>
      <c r="H162" s="5">
        <v>45677</v>
      </c>
      <c r="I162">
        <f t="shared" si="8"/>
        <v>19432.49712</v>
      </c>
      <c r="J162">
        <f t="shared" si="9"/>
        <v>18783.447120000001</v>
      </c>
      <c r="K162" s="4">
        <v>649.04999999999995</v>
      </c>
      <c r="L162" t="str">
        <f t="shared" si="10"/>
        <v>Jan-2025</v>
      </c>
      <c r="M162" s="35">
        <f t="shared" ca="1" si="11"/>
        <v>46134.720372222226</v>
      </c>
      <c r="T162" s="4"/>
    </row>
    <row r="163" spans="1:20" ht="15.75" customHeight="1" x14ac:dyDescent="0.3">
      <c r="A163" s="4" t="s">
        <v>77</v>
      </c>
      <c r="B163" s="4" t="s">
        <v>50</v>
      </c>
      <c r="C163" s="4" t="s">
        <v>26</v>
      </c>
      <c r="D163" s="4" t="s">
        <v>14</v>
      </c>
      <c r="E163" s="4">
        <v>640.64</v>
      </c>
      <c r="F163" s="4">
        <v>11</v>
      </c>
      <c r="G163" s="4">
        <v>0.2</v>
      </c>
      <c r="H163" s="5">
        <v>45678</v>
      </c>
      <c r="I163">
        <f t="shared" si="8"/>
        <v>7032.9459200000001</v>
      </c>
      <c r="J163">
        <f t="shared" si="9"/>
        <v>6827.9459200000001</v>
      </c>
      <c r="K163" s="4">
        <v>205</v>
      </c>
      <c r="L163" t="str">
        <f t="shared" si="10"/>
        <v>Jan-2025</v>
      </c>
      <c r="M163" s="35">
        <f t="shared" ca="1" si="11"/>
        <v>46134.720372222226</v>
      </c>
      <c r="T163" s="4"/>
    </row>
    <row r="164" spans="1:20" ht="15.75" customHeight="1" x14ac:dyDescent="0.3">
      <c r="A164" s="4" t="s">
        <v>24</v>
      </c>
      <c r="B164" s="4" t="s">
        <v>45</v>
      </c>
      <c r="C164" s="4" t="s">
        <v>13</v>
      </c>
      <c r="D164" s="4" t="s">
        <v>17</v>
      </c>
      <c r="E164" s="4">
        <v>585.16</v>
      </c>
      <c r="F164" s="4">
        <v>17</v>
      </c>
      <c r="G164" s="4">
        <v>0.1</v>
      </c>
      <c r="H164" s="5">
        <v>45684</v>
      </c>
      <c r="I164">
        <f t="shared" si="8"/>
        <v>9937.7722799999992</v>
      </c>
      <c r="J164">
        <f t="shared" si="9"/>
        <v>9674.4522799999995</v>
      </c>
      <c r="K164" s="4">
        <v>263.32</v>
      </c>
      <c r="L164" t="str">
        <f t="shared" si="10"/>
        <v>Jan-2025</v>
      </c>
      <c r="M164" s="35">
        <f t="shared" ca="1" si="11"/>
        <v>46134.720372222226</v>
      </c>
      <c r="T164" s="4"/>
    </row>
    <row r="165" spans="1:20" ht="15.75" customHeight="1" x14ac:dyDescent="0.3">
      <c r="A165" s="4" t="s">
        <v>24</v>
      </c>
      <c r="B165" s="4" t="s">
        <v>33</v>
      </c>
      <c r="C165" s="4" t="s">
        <v>20</v>
      </c>
      <c r="D165" s="4" t="s">
        <v>17</v>
      </c>
      <c r="E165" s="4">
        <v>1109.98</v>
      </c>
      <c r="F165" s="4">
        <v>5</v>
      </c>
      <c r="G165" s="4">
        <v>0.2</v>
      </c>
      <c r="H165" s="5">
        <v>45690</v>
      </c>
      <c r="I165">
        <f t="shared" si="8"/>
        <v>5538.8001999999997</v>
      </c>
      <c r="J165">
        <f t="shared" si="9"/>
        <v>5094.8101999999999</v>
      </c>
      <c r="K165" s="4">
        <v>443.99</v>
      </c>
      <c r="L165" t="str">
        <f t="shared" si="10"/>
        <v>Feb-2025</v>
      </c>
      <c r="M165" s="35">
        <f t="shared" ca="1" si="11"/>
        <v>46134.720372222226</v>
      </c>
      <c r="T165" s="4"/>
    </row>
    <row r="166" spans="1:20" ht="15.75" customHeight="1" x14ac:dyDescent="0.3">
      <c r="A166" s="4" t="s">
        <v>60</v>
      </c>
      <c r="B166" s="4" t="s">
        <v>47</v>
      </c>
      <c r="C166" s="4" t="s">
        <v>20</v>
      </c>
      <c r="D166" s="4" t="s">
        <v>14</v>
      </c>
      <c r="E166" s="4">
        <v>1098.08</v>
      </c>
      <c r="F166" s="4">
        <v>9</v>
      </c>
      <c r="G166" s="4">
        <v>0.1</v>
      </c>
      <c r="H166" s="5">
        <v>45692</v>
      </c>
      <c r="I166">
        <f t="shared" si="8"/>
        <v>9872.8372799999997</v>
      </c>
      <c r="J166">
        <f t="shared" si="9"/>
        <v>9477.5272800000002</v>
      </c>
      <c r="K166" s="4">
        <v>395.31</v>
      </c>
      <c r="L166" t="str">
        <f t="shared" si="10"/>
        <v>Feb-2025</v>
      </c>
      <c r="M166" s="35">
        <f t="shared" ca="1" si="11"/>
        <v>46134.720372222226</v>
      </c>
      <c r="T166" s="4"/>
    </row>
    <row r="167" spans="1:20" ht="15.75" customHeight="1" x14ac:dyDescent="0.3">
      <c r="A167" s="4" t="s">
        <v>67</v>
      </c>
      <c r="B167" s="4" t="s">
        <v>50</v>
      </c>
      <c r="C167" s="4" t="s">
        <v>13</v>
      </c>
      <c r="D167" s="4" t="s">
        <v>41</v>
      </c>
      <c r="E167" s="4">
        <v>827.25</v>
      </c>
      <c r="F167" s="4">
        <v>7</v>
      </c>
      <c r="G167" s="4">
        <v>0.1</v>
      </c>
      <c r="H167" s="5">
        <v>45693</v>
      </c>
      <c r="I167">
        <f t="shared" si="8"/>
        <v>5784.9592499999999</v>
      </c>
      <c r="J167">
        <f t="shared" si="9"/>
        <v>5449.9192499999999</v>
      </c>
      <c r="K167" s="4">
        <v>335.04</v>
      </c>
      <c r="L167" t="str">
        <f t="shared" si="10"/>
        <v>Feb-2025</v>
      </c>
      <c r="M167" s="35">
        <f t="shared" ca="1" si="11"/>
        <v>46134.720372222226</v>
      </c>
      <c r="T167" s="4"/>
    </row>
    <row r="168" spans="1:20" ht="15.75" customHeight="1" x14ac:dyDescent="0.3">
      <c r="A168" s="4" t="s">
        <v>72</v>
      </c>
      <c r="B168" s="4" t="s">
        <v>31</v>
      </c>
      <c r="C168" s="4" t="s">
        <v>36</v>
      </c>
      <c r="D168" s="4" t="s">
        <v>17</v>
      </c>
      <c r="E168" s="4">
        <v>741.88</v>
      </c>
      <c r="F168" s="4">
        <v>16</v>
      </c>
      <c r="G168" s="4">
        <v>0.1</v>
      </c>
      <c r="H168" s="5">
        <v>45695</v>
      </c>
      <c r="I168">
        <f t="shared" si="8"/>
        <v>11858.209919999999</v>
      </c>
      <c r="J168">
        <f t="shared" si="9"/>
        <v>11524.359919999999</v>
      </c>
      <c r="K168" s="4">
        <v>333.85</v>
      </c>
      <c r="L168" t="str">
        <f t="shared" si="10"/>
        <v>Feb-2025</v>
      </c>
      <c r="M168" s="35">
        <f t="shared" ca="1" si="11"/>
        <v>46134.720372222226</v>
      </c>
      <c r="T168" s="4"/>
    </row>
    <row r="169" spans="1:20" ht="15.75" customHeight="1" x14ac:dyDescent="0.3">
      <c r="A169" s="4" t="s">
        <v>74</v>
      </c>
      <c r="B169" s="4" t="s">
        <v>12</v>
      </c>
      <c r="C169" s="4" t="s">
        <v>20</v>
      </c>
      <c r="D169" s="4" t="s">
        <v>41</v>
      </c>
      <c r="E169" s="4">
        <v>1311.26</v>
      </c>
      <c r="F169" s="4">
        <v>6</v>
      </c>
      <c r="G169" s="4">
        <v>0.1</v>
      </c>
      <c r="H169" s="5">
        <v>45698</v>
      </c>
      <c r="I169">
        <f t="shared" si="8"/>
        <v>7859.6924399999998</v>
      </c>
      <c r="J169">
        <f t="shared" si="9"/>
        <v>7328.6324399999994</v>
      </c>
      <c r="K169" s="4">
        <v>531.05999999999995</v>
      </c>
      <c r="L169" t="str">
        <f t="shared" si="10"/>
        <v>Feb-2025</v>
      </c>
      <c r="M169" s="35">
        <f t="shared" ca="1" si="11"/>
        <v>46134.720372222226</v>
      </c>
      <c r="T169" s="4"/>
    </row>
    <row r="170" spans="1:20" ht="15.75" customHeight="1" x14ac:dyDescent="0.3">
      <c r="A170" s="4" t="s">
        <v>74</v>
      </c>
      <c r="B170" s="4" t="s">
        <v>33</v>
      </c>
      <c r="C170" s="4" t="s">
        <v>22</v>
      </c>
      <c r="D170" s="4" t="s">
        <v>41</v>
      </c>
      <c r="E170" s="4">
        <v>573.32000000000005</v>
      </c>
      <c r="F170" s="4">
        <v>19</v>
      </c>
      <c r="G170" s="4">
        <v>0.1</v>
      </c>
      <c r="H170" s="5">
        <v>45703</v>
      </c>
      <c r="I170">
        <f t="shared" si="8"/>
        <v>10882.186920000002</v>
      </c>
      <c r="J170">
        <f t="shared" si="9"/>
        <v>10649.996920000001</v>
      </c>
      <c r="K170" s="4">
        <v>232.19</v>
      </c>
      <c r="L170" t="str">
        <f t="shared" si="10"/>
        <v>Feb-2025</v>
      </c>
      <c r="M170" s="35">
        <f t="shared" ca="1" si="11"/>
        <v>46134.720372222226</v>
      </c>
      <c r="T170" s="4"/>
    </row>
    <row r="171" spans="1:20" ht="15.75" customHeight="1" x14ac:dyDescent="0.3">
      <c r="A171" s="4" t="s">
        <v>54</v>
      </c>
      <c r="B171" s="4" t="s">
        <v>25</v>
      </c>
      <c r="C171" s="4" t="s">
        <v>13</v>
      </c>
      <c r="D171" s="4" t="s">
        <v>23</v>
      </c>
      <c r="E171" s="4">
        <v>1115.22</v>
      </c>
      <c r="F171" s="4">
        <v>14</v>
      </c>
      <c r="G171" s="4">
        <v>0.2</v>
      </c>
      <c r="H171" s="5">
        <v>45705</v>
      </c>
      <c r="I171">
        <f t="shared" si="8"/>
        <v>15581.85384</v>
      </c>
      <c r="J171">
        <f t="shared" si="9"/>
        <v>15358.813839999999</v>
      </c>
      <c r="K171" s="4">
        <v>223.04</v>
      </c>
      <c r="L171" t="str">
        <f t="shared" si="10"/>
        <v>Feb-2025</v>
      </c>
      <c r="M171" s="35">
        <f t="shared" ca="1" si="11"/>
        <v>46134.720372222226</v>
      </c>
      <c r="T171" s="4"/>
    </row>
    <row r="172" spans="1:20" ht="15.75" customHeight="1" x14ac:dyDescent="0.3">
      <c r="A172" s="4" t="s">
        <v>15</v>
      </c>
      <c r="B172" s="4" t="s">
        <v>47</v>
      </c>
      <c r="C172" s="4" t="s">
        <v>26</v>
      </c>
      <c r="D172" s="4" t="s">
        <v>17</v>
      </c>
      <c r="E172" s="4">
        <v>845.84</v>
      </c>
      <c r="F172" s="4">
        <v>4</v>
      </c>
      <c r="G172" s="4">
        <v>0</v>
      </c>
      <c r="H172" s="5">
        <v>45707</v>
      </c>
      <c r="I172">
        <f t="shared" si="8"/>
        <v>3383.36</v>
      </c>
      <c r="J172">
        <f t="shared" si="9"/>
        <v>2960.44</v>
      </c>
      <c r="K172" s="4">
        <v>422.92</v>
      </c>
      <c r="L172" t="str">
        <f t="shared" si="10"/>
        <v>Feb-2025</v>
      </c>
      <c r="M172" s="35">
        <f t="shared" ca="1" si="11"/>
        <v>46134.720372222226</v>
      </c>
      <c r="T172" s="4"/>
    </row>
    <row r="173" spans="1:20" ht="15.75" customHeight="1" x14ac:dyDescent="0.3">
      <c r="A173" s="4" t="s">
        <v>32</v>
      </c>
      <c r="B173" s="4" t="s">
        <v>57</v>
      </c>
      <c r="C173" s="4" t="s">
        <v>13</v>
      </c>
      <c r="D173" s="4" t="s">
        <v>23</v>
      </c>
      <c r="E173" s="4">
        <v>1029.8</v>
      </c>
      <c r="F173" s="4">
        <v>3</v>
      </c>
      <c r="G173" s="4">
        <v>0</v>
      </c>
      <c r="H173" s="5">
        <v>45708</v>
      </c>
      <c r="I173">
        <f t="shared" si="8"/>
        <v>3089.3999999999996</v>
      </c>
      <c r="J173">
        <f t="shared" si="9"/>
        <v>2831.95</v>
      </c>
      <c r="K173" s="4">
        <v>257.45</v>
      </c>
      <c r="L173" t="str">
        <f t="shared" si="10"/>
        <v>Feb-2025</v>
      </c>
      <c r="M173" s="35">
        <f t="shared" ca="1" si="11"/>
        <v>46134.720372222226</v>
      </c>
      <c r="T173" s="4"/>
    </row>
    <row r="174" spans="1:20" ht="15.75" customHeight="1" x14ac:dyDescent="0.3">
      <c r="A174" s="4" t="s">
        <v>34</v>
      </c>
      <c r="B174" s="4" t="s">
        <v>33</v>
      </c>
      <c r="C174" s="4" t="s">
        <v>26</v>
      </c>
      <c r="D174" s="4" t="s">
        <v>14</v>
      </c>
      <c r="E174" s="4">
        <v>1189.83</v>
      </c>
      <c r="F174" s="4">
        <v>2</v>
      </c>
      <c r="G174" s="4">
        <v>0.2</v>
      </c>
      <c r="H174" s="5">
        <v>45709</v>
      </c>
      <c r="I174">
        <f t="shared" si="8"/>
        <v>2374.9006799999997</v>
      </c>
      <c r="J174">
        <f t="shared" si="9"/>
        <v>1994.1506799999997</v>
      </c>
      <c r="K174" s="4">
        <v>380.75</v>
      </c>
      <c r="L174" t="str">
        <f t="shared" si="10"/>
        <v>Feb-2025</v>
      </c>
      <c r="M174" s="35">
        <f t="shared" ca="1" si="11"/>
        <v>46134.720372222226</v>
      </c>
      <c r="T174" s="4"/>
    </row>
    <row r="175" spans="1:20" ht="15.75" customHeight="1" x14ac:dyDescent="0.3">
      <c r="A175" s="4" t="s">
        <v>69</v>
      </c>
      <c r="B175" s="4" t="s">
        <v>45</v>
      </c>
      <c r="C175" s="4" t="s">
        <v>22</v>
      </c>
      <c r="D175" s="4" t="s">
        <v>14</v>
      </c>
      <c r="E175" s="4">
        <v>704.28</v>
      </c>
      <c r="F175" s="4">
        <v>15</v>
      </c>
      <c r="G175" s="4">
        <v>0.2</v>
      </c>
      <c r="H175" s="5">
        <v>45712</v>
      </c>
      <c r="I175">
        <f t="shared" si="8"/>
        <v>10543.071599999999</v>
      </c>
      <c r="J175">
        <f t="shared" si="9"/>
        <v>10317.701599999999</v>
      </c>
      <c r="K175" s="4">
        <v>225.37</v>
      </c>
      <c r="L175" t="str">
        <f t="shared" si="10"/>
        <v>Feb-2025</v>
      </c>
      <c r="M175" s="35">
        <f t="shared" ca="1" si="11"/>
        <v>46134.720372222226</v>
      </c>
      <c r="T175" s="4"/>
    </row>
    <row r="176" spans="1:20" ht="15.75" customHeight="1" x14ac:dyDescent="0.3">
      <c r="A176" s="4" t="s">
        <v>67</v>
      </c>
      <c r="B176" s="4" t="s">
        <v>49</v>
      </c>
      <c r="C176" s="4" t="s">
        <v>36</v>
      </c>
      <c r="D176" s="4" t="s">
        <v>41</v>
      </c>
      <c r="E176" s="4">
        <v>1618.22</v>
      </c>
      <c r="F176" s="4">
        <v>12</v>
      </c>
      <c r="G176" s="4">
        <v>0.2</v>
      </c>
      <c r="H176" s="5">
        <v>45712</v>
      </c>
      <c r="I176">
        <f t="shared" si="8"/>
        <v>19379.80272</v>
      </c>
      <c r="J176">
        <f t="shared" si="9"/>
        <v>18797.242719999998</v>
      </c>
      <c r="K176" s="4">
        <v>582.55999999999995</v>
      </c>
      <c r="L176" t="str">
        <f t="shared" si="10"/>
        <v>Feb-2025</v>
      </c>
      <c r="M176" s="35">
        <f t="shared" ca="1" si="11"/>
        <v>46134.720372222226</v>
      </c>
      <c r="T176" s="4"/>
    </row>
    <row r="177" spans="1:20" ht="15.75" customHeight="1" x14ac:dyDescent="0.3">
      <c r="A177" s="4" t="s">
        <v>75</v>
      </c>
      <c r="B177" s="4" t="s">
        <v>55</v>
      </c>
      <c r="C177" s="4" t="s">
        <v>36</v>
      </c>
      <c r="D177" s="4" t="s">
        <v>14</v>
      </c>
      <c r="E177" s="4">
        <v>1014.43</v>
      </c>
      <c r="F177" s="4">
        <v>2</v>
      </c>
      <c r="G177" s="4">
        <v>0.15</v>
      </c>
      <c r="H177" s="5">
        <v>45713</v>
      </c>
      <c r="I177">
        <f t="shared" si="8"/>
        <v>2025.8167099999998</v>
      </c>
      <c r="J177">
        <f t="shared" si="9"/>
        <v>1680.9067099999997</v>
      </c>
      <c r="K177" s="4">
        <v>344.91</v>
      </c>
      <c r="L177" t="str">
        <f t="shared" si="10"/>
        <v>Feb-2025</v>
      </c>
      <c r="M177" s="35">
        <f t="shared" ca="1" si="11"/>
        <v>46134.720372222226</v>
      </c>
      <c r="T177" s="4"/>
    </row>
    <row r="178" spans="1:20" ht="15.75" customHeight="1" x14ac:dyDescent="0.3">
      <c r="A178" s="4" t="s">
        <v>77</v>
      </c>
      <c r="B178" s="4" t="s">
        <v>33</v>
      </c>
      <c r="C178" s="4" t="s">
        <v>36</v>
      </c>
      <c r="D178" s="4" t="s">
        <v>17</v>
      </c>
      <c r="E178" s="4">
        <v>826.97</v>
      </c>
      <c r="F178" s="4">
        <v>18</v>
      </c>
      <c r="G178" s="4">
        <v>0.2</v>
      </c>
      <c r="H178" s="5">
        <v>45715</v>
      </c>
      <c r="I178">
        <f t="shared" si="8"/>
        <v>14855.68908</v>
      </c>
      <c r="J178">
        <f t="shared" si="9"/>
        <v>14524.899079999999</v>
      </c>
      <c r="K178" s="4">
        <v>330.79</v>
      </c>
      <c r="L178" t="str">
        <f t="shared" si="10"/>
        <v>Feb-2025</v>
      </c>
      <c r="M178" s="35">
        <f t="shared" ca="1" si="11"/>
        <v>46134.720372222226</v>
      </c>
      <c r="T178" s="4"/>
    </row>
    <row r="179" spans="1:20" ht="15.75" customHeight="1" x14ac:dyDescent="0.3">
      <c r="A179" s="4" t="s">
        <v>18</v>
      </c>
      <c r="B179" s="4" t="s">
        <v>33</v>
      </c>
      <c r="C179" s="4" t="s">
        <v>36</v>
      </c>
      <c r="D179" s="4" t="s">
        <v>17</v>
      </c>
      <c r="E179" s="4">
        <v>1022.23</v>
      </c>
      <c r="F179" s="4">
        <v>8</v>
      </c>
      <c r="G179" s="4">
        <v>0.1</v>
      </c>
      <c r="H179" s="5">
        <v>45717</v>
      </c>
      <c r="I179">
        <f t="shared" si="8"/>
        <v>8169.6621599999999</v>
      </c>
      <c r="J179">
        <f t="shared" si="9"/>
        <v>7709.6621599999999</v>
      </c>
      <c r="K179" s="4">
        <v>460</v>
      </c>
      <c r="L179" t="str">
        <f t="shared" si="10"/>
        <v>Mar-2025</v>
      </c>
      <c r="M179" s="35">
        <f t="shared" ca="1" si="11"/>
        <v>46134.720372222226</v>
      </c>
      <c r="T179" s="4"/>
    </row>
    <row r="180" spans="1:20" ht="15.75" customHeight="1" x14ac:dyDescent="0.3">
      <c r="A180" s="4" t="s">
        <v>74</v>
      </c>
      <c r="B180" s="4" t="s">
        <v>31</v>
      </c>
      <c r="C180" s="4" t="s">
        <v>20</v>
      </c>
      <c r="D180" s="4" t="s">
        <v>14</v>
      </c>
      <c r="E180" s="4">
        <v>1099.69</v>
      </c>
      <c r="F180" s="4">
        <v>6</v>
      </c>
      <c r="G180" s="4">
        <v>0</v>
      </c>
      <c r="H180" s="5">
        <v>45718</v>
      </c>
      <c r="I180">
        <f t="shared" si="8"/>
        <v>6598.14</v>
      </c>
      <c r="J180">
        <f t="shared" si="9"/>
        <v>6158.26</v>
      </c>
      <c r="K180" s="4">
        <v>439.88</v>
      </c>
      <c r="L180" t="str">
        <f t="shared" si="10"/>
        <v>Mar-2025</v>
      </c>
      <c r="M180" s="35">
        <f t="shared" ca="1" si="11"/>
        <v>46134.720372222226</v>
      </c>
      <c r="T180" s="4"/>
    </row>
    <row r="181" spans="1:20" ht="15.75" customHeight="1" x14ac:dyDescent="0.3">
      <c r="A181" s="4" t="s">
        <v>54</v>
      </c>
      <c r="B181" s="4" t="s">
        <v>66</v>
      </c>
      <c r="C181" s="4" t="s">
        <v>26</v>
      </c>
      <c r="D181" s="4" t="s">
        <v>14</v>
      </c>
      <c r="E181" s="4">
        <v>710.52</v>
      </c>
      <c r="F181" s="4">
        <v>8</v>
      </c>
      <c r="G181" s="4">
        <v>0.1</v>
      </c>
      <c r="H181" s="5">
        <v>45721</v>
      </c>
      <c r="I181">
        <f t="shared" si="8"/>
        <v>5678.4758400000001</v>
      </c>
      <c r="J181">
        <f t="shared" si="9"/>
        <v>5422.6858400000001</v>
      </c>
      <c r="K181" s="4">
        <v>255.79</v>
      </c>
      <c r="L181" t="str">
        <f t="shared" si="10"/>
        <v>Mar-2025</v>
      </c>
      <c r="M181" s="35">
        <f t="shared" ca="1" si="11"/>
        <v>46134.720372222226</v>
      </c>
      <c r="T181" s="4"/>
    </row>
    <row r="182" spans="1:20" ht="15.75" customHeight="1" x14ac:dyDescent="0.3">
      <c r="A182" s="4" t="s">
        <v>54</v>
      </c>
      <c r="B182" s="4" t="s">
        <v>61</v>
      </c>
      <c r="C182" s="4" t="s">
        <v>26</v>
      </c>
      <c r="D182" s="4" t="s">
        <v>14</v>
      </c>
      <c r="E182" s="4">
        <v>499.18</v>
      </c>
      <c r="F182" s="4">
        <v>15</v>
      </c>
      <c r="G182" s="4">
        <v>0.2</v>
      </c>
      <c r="H182" s="5">
        <v>45724</v>
      </c>
      <c r="I182">
        <f t="shared" si="8"/>
        <v>7472.7245999999996</v>
      </c>
      <c r="J182">
        <f t="shared" si="9"/>
        <v>7312.9845999999998</v>
      </c>
      <c r="K182" s="4">
        <v>159.74</v>
      </c>
      <c r="L182" t="str">
        <f t="shared" si="10"/>
        <v>Mar-2025</v>
      </c>
      <c r="M182" s="35">
        <f t="shared" ca="1" si="11"/>
        <v>46134.720372222226</v>
      </c>
      <c r="T182" s="4"/>
    </row>
    <row r="183" spans="1:20" ht="15.75" customHeight="1" x14ac:dyDescent="0.3">
      <c r="A183" s="4" t="s">
        <v>39</v>
      </c>
      <c r="B183" s="4" t="s">
        <v>40</v>
      </c>
      <c r="C183" s="4" t="s">
        <v>22</v>
      </c>
      <c r="D183" s="4" t="s">
        <v>14</v>
      </c>
      <c r="E183" s="4">
        <v>1064.19</v>
      </c>
      <c r="F183" s="4">
        <v>18</v>
      </c>
      <c r="G183" s="4">
        <v>0.05</v>
      </c>
      <c r="H183" s="5">
        <v>45725</v>
      </c>
      <c r="I183">
        <f t="shared" si="8"/>
        <v>19145.842290000001</v>
      </c>
      <c r="J183">
        <f t="shared" si="9"/>
        <v>18741.452290000001</v>
      </c>
      <c r="K183" s="4">
        <v>404.39</v>
      </c>
      <c r="L183" t="str">
        <f t="shared" si="10"/>
        <v>Mar-2025</v>
      </c>
      <c r="M183" s="35">
        <f t="shared" ca="1" si="11"/>
        <v>46134.720372222226</v>
      </c>
      <c r="T183" s="4"/>
    </row>
    <row r="184" spans="1:20" ht="15.75" customHeight="1" x14ac:dyDescent="0.3">
      <c r="A184" s="4" t="s">
        <v>69</v>
      </c>
      <c r="B184" s="4" t="s">
        <v>40</v>
      </c>
      <c r="C184" s="4" t="s">
        <v>20</v>
      </c>
      <c r="D184" s="4" t="s">
        <v>41</v>
      </c>
      <c r="E184" s="4">
        <v>438.76</v>
      </c>
      <c r="F184" s="4">
        <v>18</v>
      </c>
      <c r="G184" s="4">
        <v>0.05</v>
      </c>
      <c r="H184" s="5">
        <v>45726</v>
      </c>
      <c r="I184">
        <f t="shared" si="8"/>
        <v>7893.7311600000003</v>
      </c>
      <c r="J184">
        <f t="shared" si="9"/>
        <v>7706.1611600000006</v>
      </c>
      <c r="K184" s="4">
        <v>187.57</v>
      </c>
      <c r="L184" t="str">
        <f t="shared" si="10"/>
        <v>Mar-2025</v>
      </c>
      <c r="M184" s="35">
        <f t="shared" ca="1" si="11"/>
        <v>46134.720372222226</v>
      </c>
      <c r="T184" s="4"/>
    </row>
    <row r="185" spans="1:20" ht="15.75" customHeight="1" x14ac:dyDescent="0.3">
      <c r="A185" s="4" t="s">
        <v>43</v>
      </c>
      <c r="B185" s="4" t="s">
        <v>57</v>
      </c>
      <c r="C185" s="4" t="s">
        <v>13</v>
      </c>
      <c r="D185" s="4" t="s">
        <v>17</v>
      </c>
      <c r="E185" s="4">
        <v>864.98</v>
      </c>
      <c r="F185" s="4">
        <v>2</v>
      </c>
      <c r="G185" s="4">
        <v>0.05</v>
      </c>
      <c r="H185" s="5">
        <v>45727</v>
      </c>
      <c r="I185">
        <f t="shared" si="8"/>
        <v>1729.09502</v>
      </c>
      <c r="J185">
        <f t="shared" si="9"/>
        <v>1318.2250199999999</v>
      </c>
      <c r="K185" s="4">
        <v>410.87</v>
      </c>
      <c r="L185" t="str">
        <f t="shared" si="10"/>
        <v>Mar-2025</v>
      </c>
      <c r="M185" s="35">
        <f t="shared" ca="1" si="11"/>
        <v>46134.720372222226</v>
      </c>
      <c r="T185" s="4"/>
    </row>
    <row r="186" spans="1:20" ht="15.75" customHeight="1" x14ac:dyDescent="0.3">
      <c r="A186" s="4" t="s">
        <v>59</v>
      </c>
      <c r="B186" s="4" t="s">
        <v>57</v>
      </c>
      <c r="C186" s="4" t="s">
        <v>13</v>
      </c>
      <c r="D186" s="4" t="s">
        <v>29</v>
      </c>
      <c r="E186" s="4">
        <v>984.93</v>
      </c>
      <c r="F186" s="4">
        <v>14</v>
      </c>
      <c r="G186" s="4">
        <v>0.2</v>
      </c>
      <c r="H186" s="5">
        <v>45733</v>
      </c>
      <c r="I186">
        <f t="shared" si="8"/>
        <v>13761.441959999998</v>
      </c>
      <c r="J186">
        <f t="shared" si="9"/>
        <v>13485.661959999998</v>
      </c>
      <c r="K186" s="4">
        <v>275.77999999999997</v>
      </c>
      <c r="L186" t="str">
        <f t="shared" si="10"/>
        <v>Mar-2025</v>
      </c>
      <c r="M186" s="35">
        <f t="shared" ca="1" si="11"/>
        <v>46134.720372222226</v>
      </c>
      <c r="T186" s="4"/>
    </row>
    <row r="187" spans="1:20" ht="15.75" customHeight="1" x14ac:dyDescent="0.3">
      <c r="A187" s="4" t="s">
        <v>27</v>
      </c>
      <c r="B187" s="4" t="s">
        <v>57</v>
      </c>
      <c r="C187" s="4" t="s">
        <v>13</v>
      </c>
      <c r="D187" s="4" t="s">
        <v>17</v>
      </c>
      <c r="E187" s="4">
        <v>1493.49</v>
      </c>
      <c r="F187" s="4">
        <v>18</v>
      </c>
      <c r="G187" s="4">
        <v>0</v>
      </c>
      <c r="H187" s="5">
        <v>45734</v>
      </c>
      <c r="I187">
        <f t="shared" si="8"/>
        <v>26882.82</v>
      </c>
      <c r="J187">
        <f t="shared" si="9"/>
        <v>26136.079999999998</v>
      </c>
      <c r="K187" s="4">
        <v>746.74</v>
      </c>
      <c r="L187" t="str">
        <f t="shared" si="10"/>
        <v>Mar-2025</v>
      </c>
      <c r="M187" s="35">
        <f t="shared" ca="1" si="11"/>
        <v>46134.720372222226</v>
      </c>
      <c r="T187" s="4"/>
    </row>
    <row r="188" spans="1:20" ht="15.75" customHeight="1" x14ac:dyDescent="0.3">
      <c r="A188" s="4" t="s">
        <v>34</v>
      </c>
      <c r="B188" s="4" t="s">
        <v>55</v>
      </c>
      <c r="C188" s="4" t="s">
        <v>22</v>
      </c>
      <c r="D188" s="4" t="s">
        <v>17</v>
      </c>
      <c r="E188" s="4">
        <v>689.43</v>
      </c>
      <c r="F188" s="4">
        <v>9</v>
      </c>
      <c r="G188" s="4">
        <v>0.1</v>
      </c>
      <c r="H188" s="5">
        <v>45736</v>
      </c>
      <c r="I188">
        <f t="shared" si="8"/>
        <v>6198.6651300000003</v>
      </c>
      <c r="J188">
        <f t="shared" si="9"/>
        <v>5888.4251300000005</v>
      </c>
      <c r="K188" s="4">
        <v>310.24</v>
      </c>
      <c r="L188" t="str">
        <f t="shared" si="10"/>
        <v>Mar-2025</v>
      </c>
      <c r="M188" s="35">
        <f t="shared" ca="1" si="11"/>
        <v>46134.720372222226</v>
      </c>
      <c r="T188" s="4"/>
    </row>
    <row r="189" spans="1:20" ht="15.75" customHeight="1" x14ac:dyDescent="0.3">
      <c r="A189" s="4" t="s">
        <v>42</v>
      </c>
      <c r="B189" s="4" t="s">
        <v>61</v>
      </c>
      <c r="C189" s="4" t="s">
        <v>22</v>
      </c>
      <c r="D189" s="4" t="s">
        <v>17</v>
      </c>
      <c r="E189" s="4">
        <v>682.24</v>
      </c>
      <c r="F189" s="4">
        <v>1</v>
      </c>
      <c r="G189" s="4">
        <v>0</v>
      </c>
      <c r="H189" s="5">
        <v>45738</v>
      </c>
      <c r="I189">
        <f t="shared" si="8"/>
        <v>682.24</v>
      </c>
      <c r="J189">
        <f t="shared" si="9"/>
        <v>341.12</v>
      </c>
      <c r="K189" s="4">
        <v>341.12</v>
      </c>
      <c r="L189" t="str">
        <f t="shared" si="10"/>
        <v>Mar-2025</v>
      </c>
      <c r="M189" s="35">
        <f t="shared" ca="1" si="11"/>
        <v>46134.720372222226</v>
      </c>
      <c r="T189" s="4"/>
    </row>
    <row r="190" spans="1:20" ht="15.75" customHeight="1" x14ac:dyDescent="0.3">
      <c r="A190" s="4" t="s">
        <v>43</v>
      </c>
      <c r="B190" s="4" t="s">
        <v>28</v>
      </c>
      <c r="C190" s="4" t="s">
        <v>26</v>
      </c>
      <c r="D190" s="4" t="s">
        <v>23</v>
      </c>
      <c r="E190" s="4">
        <v>458.54</v>
      </c>
      <c r="F190" s="4">
        <v>15</v>
      </c>
      <c r="G190" s="4">
        <v>0.2</v>
      </c>
      <c r="H190" s="5">
        <v>45741</v>
      </c>
      <c r="I190">
        <f t="shared" si="8"/>
        <v>6864.3438000000006</v>
      </c>
      <c r="J190">
        <f t="shared" si="9"/>
        <v>6772.6338000000005</v>
      </c>
      <c r="K190" s="4">
        <v>91.71</v>
      </c>
      <c r="L190" t="str">
        <f t="shared" si="10"/>
        <v>Mar-2025</v>
      </c>
      <c r="M190" s="35">
        <f t="shared" ca="1" si="11"/>
        <v>46134.720372222226</v>
      </c>
      <c r="T190" s="4"/>
    </row>
    <row r="191" spans="1:20" ht="15.75" customHeight="1" x14ac:dyDescent="0.3">
      <c r="A191" s="4" t="s">
        <v>34</v>
      </c>
      <c r="B191" s="4" t="s">
        <v>28</v>
      </c>
      <c r="C191" s="4" t="s">
        <v>22</v>
      </c>
      <c r="D191" s="4" t="s">
        <v>29</v>
      </c>
      <c r="E191" s="4">
        <v>1184.25</v>
      </c>
      <c r="F191" s="4">
        <v>11</v>
      </c>
      <c r="G191" s="4">
        <v>0.2</v>
      </c>
      <c r="H191" s="5">
        <v>45742</v>
      </c>
      <c r="I191">
        <f t="shared" si="8"/>
        <v>13000.6965</v>
      </c>
      <c r="J191">
        <f t="shared" si="9"/>
        <v>12669.1065</v>
      </c>
      <c r="K191" s="4">
        <v>331.59</v>
      </c>
      <c r="L191" t="str">
        <f t="shared" si="10"/>
        <v>Mar-2025</v>
      </c>
      <c r="M191" s="35">
        <f t="shared" ca="1" si="11"/>
        <v>46134.720372222226</v>
      </c>
      <c r="T191" s="4"/>
    </row>
    <row r="192" spans="1:20" ht="15.75" customHeight="1" x14ac:dyDescent="0.3">
      <c r="A192" s="4" t="s">
        <v>27</v>
      </c>
      <c r="B192" s="4" t="s">
        <v>12</v>
      </c>
      <c r="C192" s="4" t="s">
        <v>22</v>
      </c>
      <c r="D192" s="4" t="s">
        <v>17</v>
      </c>
      <c r="E192" s="4">
        <v>762.14</v>
      </c>
      <c r="F192" s="4">
        <v>9</v>
      </c>
      <c r="G192" s="4">
        <v>0</v>
      </c>
      <c r="H192" s="5">
        <v>45743</v>
      </c>
      <c r="I192">
        <f t="shared" si="8"/>
        <v>6859.26</v>
      </c>
      <c r="J192">
        <f t="shared" si="9"/>
        <v>6478.1900000000005</v>
      </c>
      <c r="K192" s="4">
        <v>381.07</v>
      </c>
      <c r="L192" t="str">
        <f t="shared" si="10"/>
        <v>Mar-2025</v>
      </c>
      <c r="M192" s="35">
        <f t="shared" ca="1" si="11"/>
        <v>46134.720372222226</v>
      </c>
      <c r="T192" s="4"/>
    </row>
    <row r="193" spans="1:20" ht="15.75" customHeight="1" x14ac:dyDescent="0.3">
      <c r="A193" s="4" t="s">
        <v>24</v>
      </c>
      <c r="B193" s="4" t="s">
        <v>55</v>
      </c>
      <c r="C193" s="4" t="s">
        <v>26</v>
      </c>
      <c r="D193" s="4" t="s">
        <v>14</v>
      </c>
      <c r="E193" s="4">
        <v>750.71</v>
      </c>
      <c r="F193" s="4">
        <v>10</v>
      </c>
      <c r="G193" s="4">
        <v>0.15</v>
      </c>
      <c r="H193" s="5">
        <v>45743</v>
      </c>
      <c r="I193">
        <f t="shared" si="8"/>
        <v>7495.8393500000002</v>
      </c>
      <c r="J193">
        <f t="shared" si="9"/>
        <v>7240.5993500000004</v>
      </c>
      <c r="K193" s="4">
        <v>255.24</v>
      </c>
      <c r="L193" t="str">
        <f t="shared" si="10"/>
        <v>Mar-2025</v>
      </c>
      <c r="M193" s="35">
        <f t="shared" ca="1" si="11"/>
        <v>46134.720372222226</v>
      </c>
      <c r="T193" s="4"/>
    </row>
    <row r="194" spans="1:20" ht="15.75" customHeight="1" x14ac:dyDescent="0.3">
      <c r="A194" s="4" t="s">
        <v>77</v>
      </c>
      <c r="B194" s="4" t="s">
        <v>73</v>
      </c>
      <c r="C194" s="4" t="s">
        <v>36</v>
      </c>
      <c r="D194" s="4" t="s">
        <v>17</v>
      </c>
      <c r="E194" s="4">
        <v>1456.94</v>
      </c>
      <c r="F194" s="4">
        <v>14</v>
      </c>
      <c r="G194" s="4">
        <v>0.05</v>
      </c>
      <c r="H194" s="5">
        <v>45745</v>
      </c>
      <c r="I194">
        <f t="shared" si="8"/>
        <v>20386.96142</v>
      </c>
      <c r="J194">
        <f t="shared" si="9"/>
        <v>19694.91142</v>
      </c>
      <c r="K194" s="4">
        <v>692.05</v>
      </c>
      <c r="L194" t="str">
        <f t="shared" si="10"/>
        <v>Mar-2025</v>
      </c>
      <c r="M194" s="35">
        <f t="shared" ca="1" si="11"/>
        <v>46134.720372222226</v>
      </c>
      <c r="T194" s="4"/>
    </row>
    <row r="195" spans="1:20" ht="15.75" customHeight="1" x14ac:dyDescent="0.3">
      <c r="A195" s="4" t="s">
        <v>46</v>
      </c>
      <c r="B195" s="4" t="s">
        <v>63</v>
      </c>
      <c r="C195" s="4" t="s">
        <v>20</v>
      </c>
      <c r="D195" s="4" t="s">
        <v>29</v>
      </c>
      <c r="E195" s="4">
        <v>1093.3800000000001</v>
      </c>
      <c r="F195" s="4">
        <v>17</v>
      </c>
      <c r="G195" s="4">
        <v>0.1</v>
      </c>
      <c r="H195" s="5">
        <v>45745</v>
      </c>
      <c r="I195">
        <f t="shared" ref="I195:I201" si="12">E195*F195-(E195*F195*G195%)</f>
        <v>18568.872540000004</v>
      </c>
      <c r="J195">
        <f t="shared" ref="J195:J201" si="13">I195-K195</f>
        <v>18224.462540000004</v>
      </c>
      <c r="K195" s="4">
        <v>344.41</v>
      </c>
      <c r="L195" t="str">
        <f t="shared" ref="L195:L201" si="14">TEXT(H195,"mmm-yyyy")</f>
        <v>Mar-2025</v>
      </c>
      <c r="M195" s="35">
        <f t="shared" ref="M195:M201" ca="1" si="15">NOW()</f>
        <v>46134.720372222226</v>
      </c>
      <c r="T195" s="4"/>
    </row>
    <row r="196" spans="1:20" ht="15.75" customHeight="1" x14ac:dyDescent="0.3">
      <c r="A196" s="4" t="s">
        <v>39</v>
      </c>
      <c r="B196" s="4" t="s">
        <v>45</v>
      </c>
      <c r="C196" s="4" t="s">
        <v>13</v>
      </c>
      <c r="D196" s="4" t="s">
        <v>17</v>
      </c>
      <c r="E196" s="4">
        <v>934.27</v>
      </c>
      <c r="F196" s="4">
        <v>8</v>
      </c>
      <c r="G196" s="4">
        <v>0.15</v>
      </c>
      <c r="H196" s="5">
        <v>45746</v>
      </c>
      <c r="I196">
        <f t="shared" si="12"/>
        <v>7462.9487600000002</v>
      </c>
      <c r="J196">
        <f t="shared" si="13"/>
        <v>7065.8887599999998</v>
      </c>
      <c r="K196" s="4">
        <v>397.06</v>
      </c>
      <c r="L196" t="str">
        <f t="shared" si="14"/>
        <v>Mar-2025</v>
      </c>
      <c r="M196" s="35">
        <f t="shared" ca="1" si="15"/>
        <v>46134.720372222226</v>
      </c>
      <c r="T196" s="4"/>
    </row>
    <row r="197" spans="1:20" ht="15.75" customHeight="1" x14ac:dyDescent="0.3">
      <c r="A197" s="4" t="s">
        <v>72</v>
      </c>
      <c r="B197" s="4" t="s">
        <v>38</v>
      </c>
      <c r="C197" s="4" t="s">
        <v>36</v>
      </c>
      <c r="D197" s="4" t="s">
        <v>17</v>
      </c>
      <c r="E197" s="4">
        <v>1465.35</v>
      </c>
      <c r="F197" s="4">
        <v>8</v>
      </c>
      <c r="G197" s="4">
        <v>0.2</v>
      </c>
      <c r="H197" s="5">
        <v>45746</v>
      </c>
      <c r="I197">
        <f t="shared" si="12"/>
        <v>11699.3544</v>
      </c>
      <c r="J197">
        <f t="shared" si="13"/>
        <v>11113.214400000001</v>
      </c>
      <c r="K197" s="4">
        <v>586.14</v>
      </c>
      <c r="L197" t="str">
        <f t="shared" si="14"/>
        <v>Mar-2025</v>
      </c>
      <c r="M197" s="35">
        <f t="shared" ca="1" si="15"/>
        <v>46134.720372222226</v>
      </c>
      <c r="T197" s="4"/>
    </row>
    <row r="198" spans="1:20" ht="15.75" customHeight="1" x14ac:dyDescent="0.3">
      <c r="A198" s="4" t="s">
        <v>54</v>
      </c>
      <c r="B198" s="4" t="s">
        <v>16</v>
      </c>
      <c r="C198" s="4" t="s">
        <v>22</v>
      </c>
      <c r="D198" s="4" t="s">
        <v>41</v>
      </c>
      <c r="E198" s="4">
        <v>740.8</v>
      </c>
      <c r="F198" s="4">
        <v>3</v>
      </c>
      <c r="G198" s="4">
        <v>0</v>
      </c>
      <c r="H198" s="5">
        <v>45749</v>
      </c>
      <c r="I198">
        <f t="shared" si="12"/>
        <v>2222.3999999999996</v>
      </c>
      <c r="J198">
        <f t="shared" si="13"/>
        <v>1889.0399999999995</v>
      </c>
      <c r="K198" s="4">
        <v>333.36</v>
      </c>
      <c r="L198" t="str">
        <f t="shared" si="14"/>
        <v>Apr-2025</v>
      </c>
      <c r="M198" s="35">
        <f t="shared" ca="1" si="15"/>
        <v>46134.720372222226</v>
      </c>
      <c r="T198" s="4"/>
    </row>
    <row r="199" spans="1:20" ht="15.75" customHeight="1" x14ac:dyDescent="0.3">
      <c r="A199" s="4" t="s">
        <v>60</v>
      </c>
      <c r="B199" s="4" t="s">
        <v>45</v>
      </c>
      <c r="C199" s="4" t="s">
        <v>13</v>
      </c>
      <c r="D199" s="4" t="s">
        <v>41</v>
      </c>
      <c r="E199" s="4">
        <v>545.44000000000005</v>
      </c>
      <c r="F199" s="4">
        <v>17</v>
      </c>
      <c r="G199" s="4">
        <v>0</v>
      </c>
      <c r="H199" s="5">
        <v>45752</v>
      </c>
      <c r="I199">
        <f t="shared" si="12"/>
        <v>9272.4800000000014</v>
      </c>
      <c r="J199">
        <f t="shared" si="13"/>
        <v>9027.0300000000007</v>
      </c>
      <c r="K199" s="4">
        <v>245.45</v>
      </c>
      <c r="L199" t="str">
        <f t="shared" si="14"/>
        <v>Apr-2025</v>
      </c>
      <c r="M199" s="35">
        <f t="shared" ca="1" si="15"/>
        <v>46134.720372222226</v>
      </c>
      <c r="T199" s="4"/>
    </row>
    <row r="200" spans="1:20" ht="15.75" customHeight="1" x14ac:dyDescent="0.3">
      <c r="A200" s="4" t="s">
        <v>37</v>
      </c>
      <c r="B200" s="4" t="s">
        <v>38</v>
      </c>
      <c r="C200" s="4" t="s">
        <v>20</v>
      </c>
      <c r="D200" s="4" t="s">
        <v>14</v>
      </c>
      <c r="E200" s="4">
        <v>997.61</v>
      </c>
      <c r="F200" s="4">
        <v>8</v>
      </c>
      <c r="G200" s="4">
        <v>0.05</v>
      </c>
      <c r="H200" s="5">
        <v>45752</v>
      </c>
      <c r="I200">
        <f t="shared" si="12"/>
        <v>7976.8895600000005</v>
      </c>
      <c r="J200">
        <f t="shared" si="13"/>
        <v>7597.7995600000004</v>
      </c>
      <c r="K200" s="4">
        <v>379.09</v>
      </c>
      <c r="L200" t="str">
        <f t="shared" si="14"/>
        <v>Apr-2025</v>
      </c>
      <c r="M200" s="35">
        <f t="shared" ca="1" si="15"/>
        <v>46134.720372222226</v>
      </c>
      <c r="T200" s="4"/>
    </row>
    <row r="201" spans="1:20" ht="15.75" customHeight="1" x14ac:dyDescent="0.3">
      <c r="A201" s="4" t="s">
        <v>62</v>
      </c>
      <c r="B201" s="4" t="s">
        <v>38</v>
      </c>
      <c r="C201" s="4" t="s">
        <v>22</v>
      </c>
      <c r="D201" s="4" t="s">
        <v>17</v>
      </c>
      <c r="E201" s="4">
        <v>928.32</v>
      </c>
      <c r="F201" s="4">
        <v>2</v>
      </c>
      <c r="G201" s="4">
        <v>0.05</v>
      </c>
      <c r="H201" s="5">
        <v>45754</v>
      </c>
      <c r="I201">
        <f t="shared" si="12"/>
        <v>1855.7116800000001</v>
      </c>
      <c r="J201">
        <f t="shared" si="13"/>
        <v>1414.7616800000001</v>
      </c>
      <c r="K201" s="4">
        <v>440.95</v>
      </c>
      <c r="L201" t="str">
        <f t="shared" si="14"/>
        <v>Apr-2025</v>
      </c>
      <c r="M201" s="35">
        <f t="shared" ca="1" si="15"/>
        <v>46134.720372222226</v>
      </c>
      <c r="T201" s="4"/>
    </row>
    <row r="202" spans="1:20" ht="15.75" customHeight="1" x14ac:dyDescent="0.3">
      <c r="T202" s="4"/>
    </row>
    <row r="203" spans="1:20" ht="15.75" customHeight="1" x14ac:dyDescent="0.3"/>
    <row r="204" spans="1:20" ht="15.75" customHeight="1" x14ac:dyDescent="0.3"/>
    <row r="205" spans="1:20" ht="15.75" customHeight="1" x14ac:dyDescent="0.3"/>
    <row r="206" spans="1:20" ht="15.75" customHeight="1" x14ac:dyDescent="0.3"/>
    <row r="207" spans="1:20" ht="15.75" customHeight="1" x14ac:dyDescent="0.3"/>
    <row r="208" spans="1:20"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scenarios current="1" show="1">
    <scenario name="p 1" locked="1" count="1" user="R13" comment="Created by R13 on 22-04-2026_x000a_Modified by R13 on 22-04-2026">
      <inputCells r="AC75" val="0"/>
    </scenario>
    <scenario name="p 2" locked="1" count="1" user="R13" comment="Created by R13 on 22-04-2026">
      <inputCells r="AC75" val="0.1"/>
    </scenario>
    <scenario name="p 3" locked="1" count="1" user="R13" comment="Created by R13 on 22-04-2026">
      <inputCells r="AC75" val="0.05"/>
    </scenario>
    <scenario name="p4" locked="1" count="1" user="R13" comment="Created by R13 on 22-04-2026">
      <inputCells r="AC75" val="0.2"/>
    </scenario>
    <scenario name="p5" locked="1" count="1" user="R13" comment="Created by R13 on 22-04-2026">
      <inputCells r="AC75" val="0.15"/>
    </scenario>
  </scenarios>
  <sortState xmlns:xlrd2="http://schemas.microsoft.com/office/spreadsheetml/2017/richdata2" ref="T3:T202">
    <sortCondition descending="1" ref="T3:T202"/>
  </sortState>
  <mergeCells count="17">
    <mergeCell ref="U92:AA92"/>
    <mergeCell ref="AB92:AC92"/>
    <mergeCell ref="U95:AA95"/>
    <mergeCell ref="AB95:AC95"/>
    <mergeCell ref="T86:AA86"/>
    <mergeCell ref="AB86:AC86"/>
    <mergeCell ref="T88:AA88"/>
    <mergeCell ref="AB88:AC88"/>
    <mergeCell ref="U90:AA90"/>
    <mergeCell ref="AB90:AC90"/>
    <mergeCell ref="T74:AA74"/>
    <mergeCell ref="AA76:AB76"/>
    <mergeCell ref="Y75:Z75"/>
    <mergeCell ref="T82:AA82"/>
    <mergeCell ref="AB82:AC82"/>
    <mergeCell ref="T84:AA84"/>
    <mergeCell ref="AB84:AC84"/>
  </mergeCells>
  <conditionalFormatting sqref="E1:E1048576">
    <cfRule type="top10" dxfId="5" priority="1" rank="10"/>
    <cfRule type="top10" dxfId="4" priority="7" rank="10"/>
  </conditionalFormatting>
  <conditionalFormatting sqref="T64">
    <cfRule type="top10" dxfId="3" priority="3" rank="10"/>
  </conditionalFormatting>
  <conditionalFormatting sqref="AC61">
    <cfRule type="top10" dxfId="2" priority="5" rank="10"/>
  </conditionalFormatting>
  <conditionalFormatting sqref="AC62:AC73 AA75 AA77:AA81 AC76:AC79 AA83 AA85 AA87 T31:T60 T89:T202">
    <cfRule type="top10" dxfId="1" priority="6" rank="10"/>
  </conditionalFormatting>
  <conditionalFormatting sqref="AC74">
    <cfRule type="top10" dxfId="0" priority="2" rank="10"/>
  </conditionalFormatting>
  <hyperlinks>
    <hyperlink ref="AB82:AC82" location="regression!A1" display="regression!A1" xr:uid="{65F46792-D248-45FC-8894-B163EA7ADAF6}"/>
    <hyperlink ref="AB84:AC84" location="Statistics!A1" display="Statistics!A1" xr:uid="{F172384F-6FF5-481B-9800-D2F308BBE9A0}"/>
  </hyperlinks>
  <pageMargins left="0.75" right="0.75" top="1" bottom="1" header="0" footer="0"/>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Project Instructions</vt:lpstr>
      <vt:lpstr>Statistics</vt:lpstr>
      <vt:lpstr>regression</vt:lpstr>
      <vt:lpstr>growth</vt:lpstr>
      <vt:lpstr>High_value_customer</vt:lpstr>
      <vt:lpstr>SalesVsRegion</vt:lpstr>
      <vt:lpstr>visualization</vt:lpstr>
      <vt:lpstr>Dashboard</vt:lpstr>
      <vt:lpstr>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Ahmed Bhesania</cp:lastModifiedBy>
  <dcterms:modified xsi:type="dcterms:W3CDTF">2026-04-22T11:48:09Z</dcterms:modified>
</cp:coreProperties>
</file>